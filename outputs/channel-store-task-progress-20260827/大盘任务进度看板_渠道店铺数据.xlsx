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3063f492740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店铺明细" sheetId="1" r:id="R115ac882d32e4abc"/>
    <x:sheet xmlns:r="http://schemas.openxmlformats.org/officeDocument/2006/relationships" name="渠道汇总" sheetId="2" r:id="Rf4780b6a62544d72"/>
    <x:sheet xmlns:r="http://schemas.openxmlformats.org/officeDocument/2006/relationships" name="导入说明" sheetId="3" r:id="Rff9e2c11391541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"/>
    <x:numFmt numFmtId="203" formatCode="yyyy-mm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E7593"/>
      <x:name val="Carlito"/>
    </x:font>
    <x:font>
      <x:b/>
      <x:sz val="11"/>
      <x:color rgb="FFFFFFFF"/>
      <x:name val="Carlito"/>
    </x:font>
    <x:font>
      <x:b/>
      <x:sz val="11"/>
      <x:color rgb="FF173A7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A70"/>
      </x:patternFill>
    </x:fill>
    <x:fill>
      <x:patternFill patternType="solid">
        <x:fgColor rgb="FFEEF5FF"/>
      </x:patternFill>
    </x:fill>
    <x:fill>
      <x:patternFill patternType="solid">
        <x:fgColor rgb="FF2F6BFF"/>
      </x:patternFill>
    </x:fill>
  </x:fills>
  <x:borders count="11">
    <x:border/>
    <x:border>
      <x:left style="thin">
        <x:color rgb="FFD8E2F0"/>
      </x:left>
      <x:right style="thin">
        <x:color rgb="FFD8E2F0"/>
      </x:right>
      <x:top style="thin">
        <x:color rgb="FFD8E2F0"/>
      </x:top>
      <x:bottom style="thin">
        <x:color rgb="FFD8E2F0"/>
      </x:bottom>
    </x:border>
    <x:border>
      <x:right style="thin">
        <x:color rgb="FFE7EDF5"/>
      </x:right>
      <x:bottom style="thin">
        <x:color rgb="FFE7EDF5"/>
      </x:bottom>
    </x:border>
    <x:border>
      <x:left style="thin">
        <x:color rgb="FFE7EDF5"/>
      </x:left>
      <x:right style="thin">
        <x:color rgb="FFE7EDF5"/>
      </x:right>
      <x:bottom style="thin">
        <x:color rgb="FFE7EDF5"/>
      </x:bottom>
    </x:border>
    <x:border>
      <x:left style="thin">
        <x:color rgb="FFE7EDF5"/>
      </x:left>
      <x:bottom style="thin">
        <x:color rgb="FFE7EDF5"/>
      </x:bottom>
    </x:border>
    <x:border>
      <x:right style="thin">
        <x:color rgb="FFE7EDF5"/>
      </x:right>
      <x:top style="thin">
        <x:color rgb="FFE7EDF5"/>
      </x:top>
      <x:bottom style="thin">
        <x:color rgb="FFE7EDF5"/>
      </x:bottom>
    </x:border>
    <x:border>
      <x:left style="thin">
        <x:color rgb="FFE7EDF5"/>
      </x:left>
      <x:right style="thin">
        <x:color rgb="FFE7EDF5"/>
      </x:right>
      <x:top style="thin">
        <x:color rgb="FFE7EDF5"/>
      </x:top>
      <x:bottom style="thin">
        <x:color rgb="FFE7EDF5"/>
      </x:bottom>
    </x:border>
    <x:border>
      <x:left style="thin">
        <x:color rgb="FFE7EDF5"/>
      </x:left>
      <x:top style="thin">
        <x:color rgb="FFE7EDF5"/>
      </x:top>
      <x:bottom style="thin">
        <x:color rgb="FFE7EDF5"/>
      </x:bottom>
    </x:border>
    <x:border>
      <x:right style="thin">
        <x:color rgb="FFE7EDF5"/>
      </x:right>
      <x:top style="thin">
        <x:color rgb="FFE7EDF5"/>
      </x:top>
    </x:border>
    <x:border>
      <x:left style="thin">
        <x:color rgb="FFE7EDF5"/>
      </x:left>
      <x:right style="thin">
        <x:color rgb="FFE7EDF5"/>
      </x:right>
      <x:top style="thin">
        <x:color rgb="FFE7EDF5"/>
      </x:top>
    </x:border>
    <x:border>
      <x:left style="thin">
        <x:color rgb="FFE7EDF5"/>
      </x:left>
      <x:top style="thin">
        <x:color rgb="FFE7EDF5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3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2" fontId="0" fillId="0" borderId="3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  <x:xf numFmtId="201" fontId="0" fillId="0" borderId="10" xfId="0" applyNumberFormat="1" applyFont="1" applyFill="1" applyBorder="1"/>
    <x:xf numFmtId="201" fontId="0" fillId="0" borderId="3" xfId="0" applyNumberFormat="1" applyFont="1" applyFill="1" applyBorder="1" applyAlignment="1">
      <x:alignment horizontal="right"/>
    </x:xf>
    <x:xf numFmtId="202" fontId="0" fillId="0" borderId="3" xfId="0" applyNumberFormat="1" applyFont="1" applyFill="1" applyBorder="1" applyAlignment="1">
      <x:alignment horizontal="right"/>
    </x:xf>
    <x:xf numFmtId="201" fontId="0" fillId="0" borderId="4" xfId="0" applyNumberFormat="1" applyFont="1" applyFill="1" applyBorder="1" applyAlignment="1">
      <x:alignment horizontal="right"/>
    </x:xf>
    <x:xf numFmtId="201" fontId="0" fillId="0" borderId="6" xfId="0" applyNumberFormat="1" applyFont="1" applyFill="1" applyBorder="1" applyAlignment="1">
      <x:alignment horizontal="right"/>
    </x:xf>
    <x:xf numFmtId="202" fontId="0" fillId="0" borderId="6" xfId="0" applyNumberFormat="1" applyFont="1" applyFill="1" applyBorder="1" applyAlignment="1">
      <x:alignment horizontal="right"/>
    </x:xf>
    <x:xf numFmtId="201" fontId="0" fillId="0" borderId="7" xfId="0" applyNumberFormat="1" applyFont="1" applyFill="1" applyBorder="1" applyAlignment="1">
      <x:alignment horizontal="right"/>
    </x:xf>
    <x:xf numFmtId="201" fontId="0" fillId="0" borderId="9" xfId="0" applyNumberFormat="1" applyFont="1" applyFill="1" applyBorder="1" applyAlignment="1">
      <x:alignment horizontal="right"/>
    </x:xf>
    <x:xf numFmtId="202" fontId="0" fillId="0" borderId="9" xfId="0" applyNumberFormat="1" applyFont="1" applyFill="1" applyBorder="1" applyAlignment="1">
      <x:alignment horizontal="right"/>
    </x:xf>
    <x:xf numFmtId="201" fontId="0" fillId="0" borderId="1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0" fontId="4" fillId="3" borderId="0" xfId="0" applyNumberFormat="1" applyFont="1" applyFill="1" applyBorder="1"/>
    <x:xf numFmtId="203" fontId="4" fillId="3" borderId="0" xfId="0" applyNumberFormat="1" applyFont="1" applyFill="1" applyBorder="1"/>
    <x:xf numFmtId="0" fontId="4" fillId="3" borderId="1" xfId="0" applyNumberFormat="1" applyFont="1" applyFill="1" applyBorder="1"/>
    <x:xf numFmtId="203" fontId="4" fillId="3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201" fontId="0" fillId="0" borderId="1" xfId="0" applyNumberFormat="1" applyFont="1" applyFill="1" applyBorder="1" applyAlignment="1">
      <x:alignment horizontal="right"/>
    </x:xf>
    <x:xf numFmtId="202" fontId="0" fillId="0" borderId="1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61527385014a84" /><Relationship Type="http://schemas.openxmlformats.org/officeDocument/2006/relationships/theme" Target="/xl/theme/theme1.xml" Id="R2380495ee9604ed3" /><Relationship Type="http://schemas.openxmlformats.org/officeDocument/2006/relationships/sharedStrings" Target="/xl/sharedStrings.xml" Id="Rb9d7375ae57e415e" /><Relationship Type="http://schemas.openxmlformats.org/officeDocument/2006/relationships/worksheet" Target="/xl/worksheets/sheet1.xml" Id="R115ac882d32e4abc" /><Relationship Type="http://schemas.openxmlformats.org/officeDocument/2006/relationships/worksheet" Target="/xl/worksheets/sheet2.xml" Id="Rf4780b6a62544d72" /><Relationship Type="http://schemas.openxmlformats.org/officeDocument/2006/relationships/worksheet" Target="/xl/worksheets/sheet3.xml" Id="Rff9e2c11391541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17" hidden="0" customWidth="1"/>
    <x:col min="5" max="5" width="17" hidden="0" customWidth="1"/>
    <x:col min="6" max="6" width="15" hidden="0" customWidth="1"/>
    <x:col min="7" max="7" width="15" hidden="0" customWidth="1"/>
  </x:cols>
  <x:sheetData>
    <x:row r="1" ht="30" customHeight="1">
      <x:c r="A1" s="4" t="str">
        <x:v>大盘任务进度看板 · 渠道与店铺明细数据</x:v>
      </x:c>
      <x:c r="B1" s="4"/>
      <x:c r="C1" s="4"/>
      <x:c r="D1" s="4"/>
      <x:c r="E1" s="4"/>
      <x:c r="F1" s="4"/>
      <x:c r="G1" s="4"/>
    </x:row>
    <x:row r="2" ht="28" customHeight="1">
      <x:c r="A2" s="8" t="str">
        <x:v>用于绑定：日期字段 = 订单时间；维度 = 渠道；店铺维度 = 店铺；实际指标 = GMV、销售毛利、库存周转天数。目标请在图表的“配置渠道”中设置。</x:v>
      </x:c>
      <x:c r="B2" s="8"/>
      <x:c r="C2" s="8"/>
      <x:c r="D2" s="8"/>
      <x:c r="E2" s="8"/>
      <x:c r="F2" s="8"/>
      <x:c r="G2" s="8"/>
    </x:row>
    <x:row r="4">
      <x:c r="A4" s="14" t="str">
        <x:v>订单时间</x:v>
      </x:c>
      <x:c r="B4" s="14" t="str">
        <x:v>渠道</x:v>
      </x:c>
      <x:c r="C4" s="14" t="str">
        <x:v>店铺</x:v>
      </x:c>
      <x:c r="D4" s="14" t="str">
        <x:v>GMV（欧元）</x:v>
      </x:c>
      <x:c r="E4" s="14" t="str">
        <x:v>销售毛利（欧元）</x:v>
      </x:c>
      <x:c r="F4" s="14" t="str">
        <x:v>库存周转天数</x:v>
      </x:c>
      <x:c r="G4" s="14" t="str">
        <x:v>订单量</x:v>
      </x:c>
    </x:row>
    <x:row r="5">
      <x:c r="A5" s="24" t="n">
        <x:v>46082</x:v>
      </x:c>
      <x:c r="B5" s="16" t="str">
        <x:v>Amazon</x:v>
      </x:c>
      <x:c r="C5" s="16" t="str">
        <x:v>Amazon DE 小米店</x:v>
      </x:c>
      <x:c r="D5" s="36" t="n">
        <x:v>111600</x:v>
      </x:c>
      <x:c r="E5" s="36" t="n">
        <x:v>21204</x:v>
      </x:c>
      <x:c r="F5" s="37" t="n">
        <x:v>96</x:v>
      </x:c>
      <x:c r="G5" s="38" t="n">
        <x:v>930</x:v>
      </x:c>
    </x:row>
    <x:row r="6">
      <x:c r="A6" s="25" t="n">
        <x:v>46082</x:v>
      </x:c>
      <x:c r="B6" s="19" t="str">
        <x:v>Amazon</x:v>
      </x:c>
      <x:c r="C6" s="19" t="str">
        <x:v>Amazon ES 小米店</x:v>
      </x:c>
      <x:c r="D6" s="39" t="n">
        <x:v>121660</x:v>
      </x:c>
      <x:c r="E6" s="39" t="n">
        <x:v>24089</x:v>
      </x:c>
      <x:c r="F6" s="40" t="n">
        <x:v>101</x:v>
      </x:c>
      <x:c r="G6" s="41" t="n">
        <x:v>958</x:v>
      </x:c>
    </x:row>
    <x:row r="7">
      <x:c r="A7" s="25" t="n">
        <x:v>46082</x:v>
      </x:c>
      <x:c r="B7" s="19" t="str">
        <x:v>Amazon</x:v>
      </x:c>
      <x:c r="C7" s="19" t="str">
        <x:v>Amazon FR 小米店</x:v>
      </x:c>
      <x:c r="D7" s="39" t="n">
        <x:v>132153</x:v>
      </x:c>
      <x:c r="E7" s="39" t="n">
        <x:v>25109</x:v>
      </x:c>
      <x:c r="F7" s="40" t="n">
        <x:v>106</x:v>
      </x:c>
      <x:c r="G7" s="41" t="n">
        <x:v>986</x:v>
      </x:c>
    </x:row>
    <x:row r="8">
      <x:c r="A8" s="25" t="n">
        <x:v>46082</x:v>
      </x:c>
      <x:c r="B8" s="19" t="str">
        <x:v>Amazon</x:v>
      </x:c>
      <x:c r="C8" s="19" t="str">
        <x:v>Amazon IT 小米店</x:v>
      </x:c>
      <x:c r="D8" s="39" t="n">
        <x:v>126480</x:v>
      </x:c>
      <x:c r="E8" s="39" t="n">
        <x:v>25043</x:v>
      </x:c>
      <x:c r="F8" s="40" t="n">
        <x:v>111</x:v>
      </x:c>
      <x:c r="G8" s="41" t="n">
        <x:v>897</x:v>
      </x:c>
    </x:row>
    <x:row r="9">
      <x:c r="A9" s="25" t="n">
        <x:v>46082</x:v>
      </x:c>
      <x:c r="B9" s="19" t="str">
        <x:v>速卖通</x:v>
      </x:c>
      <x:c r="C9" s="19" t="str">
        <x:v>速卖通-海托波兰小米店</x:v>
      </x:c>
      <x:c r="D9" s="39" t="n">
        <x:v>91683</x:v>
      </x:c>
      <x:c r="E9" s="39" t="n">
        <x:v>15586</x:v>
      </x:c>
      <x:c r="F9" s="40" t="n">
        <x:v>118</x:v>
      </x:c>
      <x:c r="G9" s="41" t="n">
        <x:v>664</x:v>
      </x:c>
    </x:row>
    <x:row r="10">
      <x:c r="A10" s="25" t="n">
        <x:v>46082</x:v>
      </x:c>
      <x:c r="B10" s="19" t="str">
        <x:v>速卖通</x:v>
      </x:c>
      <x:c r="C10" s="19" t="str">
        <x:v>速卖通-海托波兰创维店</x:v>
      </x:c>
      <x:c r="D10" s="39" t="n">
        <x:v>99772</x:v>
      </x:c>
      <x:c r="E10" s="39" t="n">
        <x:v>17759</x:v>
      </x:c>
      <x:c r="F10" s="40" t="n">
        <x:v>123</x:v>
      </x:c>
      <x:c r="G10" s="41" t="n">
        <x:v>688</x:v>
      </x:c>
    </x:row>
    <x:row r="11">
      <x:c r="A11" s="25" t="n">
        <x:v>46082</x:v>
      </x:c>
      <x:c r="B11" s="19" t="str">
        <x:v>速卖通</x:v>
      </x:c>
      <x:c r="C11" s="19" t="str">
        <x:v>速卖通-西班牙小米店</x:v>
      </x:c>
      <x:c r="D11" s="39" t="n">
        <x:v>95648</x:v>
      </x:c>
      <x:c r="E11" s="39" t="n">
        <x:v>16260</x:v>
      </x:c>
      <x:c r="F11" s="40" t="n">
        <x:v>128</x:v>
      </x:c>
      <x:c r="G11" s="41" t="n">
        <x:v>629</x:v>
      </x:c>
    </x:row>
    <x:row r="12">
      <x:c r="A12" s="25" t="n">
        <x:v>46082</x:v>
      </x:c>
      <x:c r="B12" s="19" t="str">
        <x:v>速卖通</x:v>
      </x:c>
      <x:c r="C12" s="19" t="str">
        <x:v>速卖通-德国创维店</x:v>
      </x:c>
      <x:c r="D12" s="39" t="n">
        <x:v>103907</x:v>
      </x:c>
      <x:c r="E12" s="39" t="n">
        <x:v>18495</x:v>
      </x:c>
      <x:c r="F12" s="40" t="n">
        <x:v>133</x:v>
      </x:c>
      <x:c r="G12" s="41" t="n">
        <x:v>654</x:v>
      </x:c>
    </x:row>
    <x:row r="13">
      <x:c r="A13" s="25" t="n">
        <x:v>46082</x:v>
      </x:c>
      <x:c r="B13" s="19" t="str">
        <x:v>线下批发</x:v>
      </x:c>
      <x:c r="C13" s="19" t="str">
        <x:v>波兰线下批发</x:v>
      </x:c>
      <x:c r="D13" s="39" t="n">
        <x:v>76734</x:v>
      </x:c>
      <x:c r="E13" s="39" t="n">
        <x:v>10743</x:v>
      </x:c>
      <x:c r="F13" s="40" t="n">
        <x:v>82</x:v>
      </x:c>
      <x:c r="G13" s="41" t="n">
        <x:v>492</x:v>
      </x:c>
    </x:row>
    <x:row r="14">
      <x:c r="A14" s="25" t="n">
        <x:v>46082</x:v>
      </x:c>
      <x:c r="B14" s="19" t="str">
        <x:v>线下批发</x:v>
      </x:c>
      <x:c r="C14" s="19" t="str">
        <x:v>西班牙线下批发</x:v>
      </x:c>
      <x:c r="D14" s="39" t="n">
        <x:v>73696</x:v>
      </x:c>
      <x:c r="E14" s="39" t="n">
        <x:v>10907</x:v>
      </x:c>
      <x:c r="F14" s="40" t="n">
        <x:v>87</x:v>
      </x:c>
      <x:c r="G14" s="41" t="n">
        <x:v>452</x:v>
      </x:c>
    </x:row>
    <x:row r="15">
      <x:c r="A15" s="25" t="n">
        <x:v>46082</x:v>
      </x:c>
      <x:c r="B15" s="19" t="str">
        <x:v>线下批发</x:v>
      </x:c>
      <x:c r="C15" s="19" t="str">
        <x:v>德国线下批发</x:v>
      </x:c>
      <x:c r="D15" s="39" t="n">
        <x:v>80193</x:v>
      </x:c>
      <x:c r="E15" s="39" t="n">
        <x:v>11227</x:v>
      </x:c>
      <x:c r="F15" s="40" t="n">
        <x:v>92</x:v>
      </x:c>
      <x:c r="G15" s="41" t="n">
        <x:v>472</x:v>
      </x:c>
    </x:row>
    <x:row r="16">
      <x:c r="A16" s="25" t="n">
        <x:v>46082</x:v>
      </x:c>
      <x:c r="B16" s="19" t="str">
        <x:v>线下批发</x:v>
      </x:c>
      <x:c r="C16" s="19" t="str">
        <x:v>法国线下批发</x:v>
      </x:c>
      <x:c r="D16" s="39" t="n">
        <x:v>86965</x:v>
      </x:c>
      <x:c r="E16" s="39" t="n">
        <x:v>12871</x:v>
      </x:c>
      <x:c r="F16" s="40" t="n">
        <x:v>97</x:v>
      </x:c>
      <x:c r="G16" s="41" t="n">
        <x:v>491</x:v>
      </x:c>
    </x:row>
    <x:row r="17">
      <x:c r="A17" s="25" t="n">
        <x:v>46113</x:v>
      </x:c>
      <x:c r="B17" s="19" t="str">
        <x:v>Amazon</x:v>
      </x:c>
      <x:c r="C17" s="19" t="str">
        <x:v>Amazon DE 小米店</x:v>
      </x:c>
      <x:c r="D17" s="39" t="n">
        <x:v>119273</x:v>
      </x:c>
      <x:c r="E17" s="39" t="n">
        <x:v>22662</x:v>
      </x:c>
      <x:c r="F17" s="40" t="n">
        <x:v>94</x:v>
      </x:c>
      <x:c r="G17" s="41" t="n">
        <x:v>994</x:v>
      </x:c>
    </x:row>
    <x:row r="18">
      <x:c r="A18" s="25" t="n">
        <x:v>46113</x:v>
      </x:c>
      <x:c r="B18" s="19" t="str">
        <x:v>Amazon</x:v>
      </x:c>
      <x:c r="C18" s="19" t="str">
        <x:v>Amazon ES 小米店</x:v>
      </x:c>
      <x:c r="D18" s="39" t="n">
        <x:v>129673</x:v>
      </x:c>
      <x:c r="E18" s="39" t="n">
        <x:v>25675</x:v>
      </x:c>
      <x:c r="F18" s="40" t="n">
        <x:v>99</x:v>
      </x:c>
      <x:c r="G18" s="41" t="n">
        <x:v>1021</x:v>
      </x:c>
    </x:row>
    <x:row r="19">
      <x:c r="A19" s="25" t="n">
        <x:v>46113</x:v>
      </x:c>
      <x:c r="B19" s="19" t="str">
        <x:v>Amazon</x:v>
      </x:c>
      <x:c r="C19" s="19" t="str">
        <x:v>Amazon FR 小米店</x:v>
      </x:c>
      <x:c r="D19" s="39" t="n">
        <x:v>140508</x:v>
      </x:c>
      <x:c r="E19" s="39" t="n">
        <x:v>26697</x:v>
      </x:c>
      <x:c r="F19" s="40" t="n">
        <x:v>104</x:v>
      </x:c>
      <x:c r="G19" s="41" t="n">
        <x:v>1049</x:v>
      </x:c>
    </x:row>
    <x:row r="20">
      <x:c r="A20" s="25" t="n">
        <x:v>46113</x:v>
      </x:c>
      <x:c r="B20" s="19" t="str">
        <x:v>Amazon</x:v>
      </x:c>
      <x:c r="C20" s="19" t="str">
        <x:v>Amazon IT 小米店</x:v>
      </x:c>
      <x:c r="D20" s="39" t="n">
        <x:v>135176</x:v>
      </x:c>
      <x:c r="E20" s="39" t="n">
        <x:v>26765</x:v>
      </x:c>
      <x:c r="F20" s="40" t="n">
        <x:v>109</x:v>
      </x:c>
      <x:c r="G20" s="41" t="n">
        <x:v>959</x:v>
      </x:c>
    </x:row>
    <x:row r="21">
      <x:c r="A21" s="25" t="n">
        <x:v>46113</x:v>
      </x:c>
      <x:c r="B21" s="19" t="str">
        <x:v>速卖通</x:v>
      </x:c>
      <x:c r="C21" s="19" t="str">
        <x:v>速卖通-海托波兰小米店</x:v>
      </x:c>
      <x:c r="D21" s="39" t="n">
        <x:v>97722</x:v>
      </x:c>
      <x:c r="E21" s="39" t="n">
        <x:v>16613</x:v>
      </x:c>
      <x:c r="F21" s="40" t="n">
        <x:v>116</x:v>
      </x:c>
      <x:c r="G21" s="41" t="n">
        <x:v>708</x:v>
      </x:c>
    </x:row>
    <x:row r="22">
      <x:c r="A22" s="25" t="n">
        <x:v>46113</x:v>
      </x:c>
      <x:c r="B22" s="19" t="str">
        <x:v>速卖通</x:v>
      </x:c>
      <x:c r="C22" s="19" t="str">
        <x:v>速卖通-海托波兰创维店</x:v>
      </x:c>
      <x:c r="D22" s="39" t="n">
        <x:v>106079</x:v>
      </x:c>
      <x:c r="E22" s="39" t="n">
        <x:v>18882</x:v>
      </x:c>
      <x:c r="F22" s="40" t="n">
        <x:v>121</x:v>
      </x:c>
      <x:c r="G22" s="41" t="n">
        <x:v>732</x:v>
      </x:c>
    </x:row>
    <x:row r="23">
      <x:c r="A23" s="25" t="n">
        <x:v>46113</x:v>
      </x:c>
      <x:c r="B23" s="19" t="str">
        <x:v>速卖通</x:v>
      </x:c>
      <x:c r="C23" s="19" t="str">
        <x:v>速卖通-西班牙小米店</x:v>
      </x:c>
      <x:c r="D23" s="39" t="n">
        <x:v>102224</x:v>
      </x:c>
      <x:c r="E23" s="39" t="n">
        <x:v>17378</x:v>
      </x:c>
      <x:c r="F23" s="40" t="n">
        <x:v>126</x:v>
      </x:c>
      <x:c r="G23" s="41" t="n">
        <x:v>673</x:v>
      </x:c>
    </x:row>
    <x:row r="24">
      <x:c r="A24" s="25" t="n">
        <x:v>46113</x:v>
      </x:c>
      <x:c r="B24" s="19" t="str">
        <x:v>速卖通</x:v>
      </x:c>
      <x:c r="C24" s="19" t="str">
        <x:v>速卖通-德国创维店</x:v>
      </x:c>
      <x:c r="D24" s="39" t="n">
        <x:v>110752</x:v>
      </x:c>
      <x:c r="E24" s="39" t="n">
        <x:v>19714</x:v>
      </x:c>
      <x:c r="F24" s="40" t="n">
        <x:v>131</x:v>
      </x:c>
      <x:c r="G24" s="41" t="n">
        <x:v>697</x:v>
      </x:c>
    </x:row>
    <x:row r="25">
      <x:c r="A25" s="25" t="n">
        <x:v>46113</x:v>
      </x:c>
      <x:c r="B25" s="19" t="str">
        <x:v>线下批发</x:v>
      </x:c>
      <x:c r="C25" s="19" t="str">
        <x:v>波兰线下批发</x:v>
      </x:c>
      <x:c r="D25" s="39" t="n">
        <x:v>81585</x:v>
      </x:c>
      <x:c r="E25" s="39" t="n">
        <x:v>11422</x:v>
      </x:c>
      <x:c r="F25" s="40" t="n">
        <x:v>80</x:v>
      </x:c>
      <x:c r="G25" s="41" t="n">
        <x:v>523</x:v>
      </x:c>
    </x:row>
    <x:row r="26">
      <x:c r="A26" s="25" t="n">
        <x:v>46113</x:v>
      </x:c>
      <x:c r="B26" s="19" t="str">
        <x:v>线下批发</x:v>
      </x:c>
      <x:c r="C26" s="19" t="str">
        <x:v>西班牙线下批发</x:v>
      </x:c>
      <x:c r="D26" s="39" t="n">
        <x:v>78763</x:v>
      </x:c>
      <x:c r="E26" s="39" t="n">
        <x:v>11657</x:v>
      </x:c>
      <x:c r="F26" s="40" t="n">
        <x:v>85</x:v>
      </x:c>
      <x:c r="G26" s="41" t="n">
        <x:v>483</x:v>
      </x:c>
    </x:row>
    <x:row r="27">
      <x:c r="A27" s="25" t="n">
        <x:v>46113</x:v>
      </x:c>
      <x:c r="B27" s="19" t="str">
        <x:v>线下批发</x:v>
      </x:c>
      <x:c r="C27" s="19" t="str">
        <x:v>德国线下批发</x:v>
      </x:c>
      <x:c r="D27" s="39" t="n">
        <x:v>85476</x:v>
      </x:c>
      <x:c r="E27" s="39" t="n">
        <x:v>11967</x:v>
      </x:c>
      <x:c r="F27" s="40" t="n">
        <x:v>90</x:v>
      </x:c>
      <x:c r="G27" s="41" t="n">
        <x:v>503</x:v>
      </x:c>
    </x:row>
    <x:row r="28">
      <x:c r="A28" s="25" t="n">
        <x:v>46113</x:v>
      </x:c>
      <x:c r="B28" s="19" t="str">
        <x:v>线下批发</x:v>
      </x:c>
      <x:c r="C28" s="19" t="str">
        <x:v>法国线下批发</x:v>
      </x:c>
      <x:c r="D28" s="39" t="n">
        <x:v>92463</x:v>
      </x:c>
      <x:c r="E28" s="39" t="n">
        <x:v>13685</x:v>
      </x:c>
      <x:c r="F28" s="40" t="n">
        <x:v>95</x:v>
      </x:c>
      <x:c r="G28" s="41" t="n">
        <x:v>522</x:v>
      </x:c>
    </x:row>
    <x:row r="29">
      <x:c r="A29" s="25" t="n">
        <x:v>46143</x:v>
      </x:c>
      <x:c r="B29" s="19" t="str">
        <x:v>Amazon</x:v>
      </x:c>
      <x:c r="C29" s="19" t="str">
        <x:v>Amazon DE 小米店</x:v>
      </x:c>
      <x:c r="D29" s="39" t="n">
        <x:v>126945</x:v>
      </x:c>
      <x:c r="E29" s="39" t="n">
        <x:v>24120</x:v>
      </x:c>
      <x:c r="F29" s="40" t="n">
        <x:v>92</x:v>
      </x:c>
      <x:c r="G29" s="41" t="n">
        <x:v>1058</x:v>
      </x:c>
    </x:row>
    <x:row r="30">
      <x:c r="A30" s="25" t="n">
        <x:v>46143</x:v>
      </x:c>
      <x:c r="B30" s="19" t="str">
        <x:v>Amazon</x:v>
      </x:c>
      <x:c r="C30" s="19" t="str">
        <x:v>Amazon ES 小米店</x:v>
      </x:c>
      <x:c r="D30" s="39" t="n">
        <x:v>137687</x:v>
      </x:c>
      <x:c r="E30" s="39" t="n">
        <x:v>27262</x:v>
      </x:c>
      <x:c r="F30" s="40" t="n">
        <x:v>97</x:v>
      </x:c>
      <x:c r="G30" s="41" t="n">
        <x:v>1084</x:v>
      </x:c>
    </x:row>
    <x:row r="31">
      <x:c r="A31" s="25" t="n">
        <x:v>46143</x:v>
      </x:c>
      <x:c r="B31" s="19" t="str">
        <x:v>Amazon</x:v>
      </x:c>
      <x:c r="C31" s="19" t="str">
        <x:v>Amazon FR 小米店</x:v>
      </x:c>
      <x:c r="D31" s="39" t="n">
        <x:v>148862</x:v>
      </x:c>
      <x:c r="E31" s="39" t="n">
        <x:v>28284</x:v>
      </x:c>
      <x:c r="F31" s="40" t="n">
        <x:v>102</x:v>
      </x:c>
      <x:c r="G31" s="41" t="n">
        <x:v>1111</x:v>
      </x:c>
    </x:row>
    <x:row r="32">
      <x:c r="A32" s="25" t="n">
        <x:v>46143</x:v>
      </x:c>
      <x:c r="B32" s="19" t="str">
        <x:v>Amazon</x:v>
      </x:c>
      <x:c r="C32" s="19" t="str">
        <x:v>Amazon IT 小米店</x:v>
      </x:c>
      <x:c r="D32" s="39" t="n">
        <x:v>143871</x:v>
      </x:c>
      <x:c r="E32" s="39" t="n">
        <x:v>28486</x:v>
      </x:c>
      <x:c r="F32" s="40" t="n">
        <x:v>107</x:v>
      </x:c>
      <x:c r="G32" s="41" t="n">
        <x:v>1020</x:v>
      </x:c>
    </x:row>
    <x:row r="33">
      <x:c r="A33" s="25" t="n">
        <x:v>46143</x:v>
      </x:c>
      <x:c r="B33" s="19" t="str">
        <x:v>速卖通</x:v>
      </x:c>
      <x:c r="C33" s="19" t="str">
        <x:v>速卖通-海托波兰小米店</x:v>
      </x:c>
      <x:c r="D33" s="39" t="n">
        <x:v>103761</x:v>
      </x:c>
      <x:c r="E33" s="39" t="n">
        <x:v>17639</x:v>
      </x:c>
      <x:c r="F33" s="40" t="n">
        <x:v>114</x:v>
      </x:c>
      <x:c r="G33" s="41" t="n">
        <x:v>752</x:v>
      </x:c>
    </x:row>
    <x:row r="34">
      <x:c r="A34" s="25" t="n">
        <x:v>46143</x:v>
      </x:c>
      <x:c r="B34" s="19" t="str">
        <x:v>速卖通</x:v>
      </x:c>
      <x:c r="C34" s="19" t="str">
        <x:v>速卖通-海托波兰创维店</x:v>
      </x:c>
      <x:c r="D34" s="39" t="n">
        <x:v>112386</x:v>
      </x:c>
      <x:c r="E34" s="39" t="n">
        <x:v>20005</x:v>
      </x:c>
      <x:c r="F34" s="40" t="n">
        <x:v>119</x:v>
      </x:c>
      <x:c r="G34" s="41" t="n">
        <x:v>775</x:v>
      </x:c>
    </x:row>
    <x:row r="35">
      <x:c r="A35" s="25" t="n">
        <x:v>46143</x:v>
      </x:c>
      <x:c r="B35" s="19" t="str">
        <x:v>速卖通</x:v>
      </x:c>
      <x:c r="C35" s="19" t="str">
        <x:v>速卖通-西班牙小米店</x:v>
      </x:c>
      <x:c r="D35" s="39" t="n">
        <x:v>108800</x:v>
      </x:c>
      <x:c r="E35" s="39" t="n">
        <x:v>18496</x:v>
      </x:c>
      <x:c r="F35" s="40" t="n">
        <x:v>124</x:v>
      </x:c>
      <x:c r="G35" s="41" t="n">
        <x:v>716</x:v>
      </x:c>
    </x:row>
    <x:row r="36">
      <x:c r="A36" s="25" t="n">
        <x:v>46143</x:v>
      </x:c>
      <x:c r="B36" s="19" t="str">
        <x:v>速卖通</x:v>
      </x:c>
      <x:c r="C36" s="19" t="str">
        <x:v>速卖通-德国创维店</x:v>
      </x:c>
      <x:c r="D36" s="39" t="n">
        <x:v>117596</x:v>
      </x:c>
      <x:c r="E36" s="39" t="n">
        <x:v>20932</x:v>
      </x:c>
      <x:c r="F36" s="40" t="n">
        <x:v>129</x:v>
      </x:c>
      <x:c r="G36" s="41" t="n">
        <x:v>740</x:v>
      </x:c>
    </x:row>
    <x:row r="37">
      <x:c r="A37" s="25" t="n">
        <x:v>46143</x:v>
      </x:c>
      <x:c r="B37" s="19" t="str">
        <x:v>线下批发</x:v>
      </x:c>
      <x:c r="C37" s="19" t="str">
        <x:v>波兰线下批发</x:v>
      </x:c>
      <x:c r="D37" s="39" t="n">
        <x:v>86436</x:v>
      </x:c>
      <x:c r="E37" s="39" t="n">
        <x:v>12101</x:v>
      </x:c>
      <x:c r="F37" s="40" t="n">
        <x:v>78</x:v>
      </x:c>
      <x:c r="G37" s="41" t="n">
        <x:v>554</x:v>
      </x:c>
    </x:row>
    <x:row r="38">
      <x:c r="A38" s="25" t="n">
        <x:v>46143</x:v>
      </x:c>
      <x:c r="B38" s="19" t="str">
        <x:v>线下批发</x:v>
      </x:c>
      <x:c r="C38" s="19" t="str">
        <x:v>西班牙线下批发</x:v>
      </x:c>
      <x:c r="D38" s="39" t="n">
        <x:v>83829</x:v>
      </x:c>
      <x:c r="E38" s="39" t="n">
        <x:v>12407</x:v>
      </x:c>
      <x:c r="F38" s="40" t="n">
        <x:v>83</x:v>
      </x:c>
      <x:c r="G38" s="41" t="n">
        <x:v>514</x:v>
      </x:c>
    </x:row>
    <x:row r="39">
      <x:c r="A39" s="25" t="n">
        <x:v>46143</x:v>
      </x:c>
      <x:c r="B39" s="19" t="str">
        <x:v>线下批发</x:v>
      </x:c>
      <x:c r="C39" s="19" t="str">
        <x:v>德国线下批发</x:v>
      </x:c>
      <x:c r="D39" s="39" t="n">
        <x:v>90758</x:v>
      </x:c>
      <x:c r="E39" s="39" t="n">
        <x:v>12706</x:v>
      </x:c>
      <x:c r="F39" s="40" t="n">
        <x:v>88</x:v>
      </x:c>
      <x:c r="G39" s="41" t="n">
        <x:v>534</x:v>
      </x:c>
    </x:row>
    <x:row r="40">
      <x:c r="A40" s="25" t="n">
        <x:v>46143</x:v>
      </x:c>
      <x:c r="B40" s="19" t="str">
        <x:v>线下批发</x:v>
      </x:c>
      <x:c r="C40" s="19" t="str">
        <x:v>法国线下批发</x:v>
      </x:c>
      <x:c r="D40" s="39" t="n">
        <x:v>97961</x:v>
      </x:c>
      <x:c r="E40" s="39" t="n">
        <x:v>14498</x:v>
      </x:c>
      <x:c r="F40" s="40" t="n">
        <x:v>93</x:v>
      </x:c>
      <x:c r="G40" s="41" t="n">
        <x:v>553</x:v>
      </x:c>
    </x:row>
    <x:row r="41">
      <x:c r="A41" s="25" t="n">
        <x:v>46174</x:v>
      </x:c>
      <x:c r="B41" s="19" t="str">
        <x:v>Amazon</x:v>
      </x:c>
      <x:c r="C41" s="19" t="str">
        <x:v>Amazon DE 小米店</x:v>
      </x:c>
      <x:c r="D41" s="39" t="n">
        <x:v>134618</x:v>
      </x:c>
      <x:c r="E41" s="39" t="n">
        <x:v>25577</x:v>
      </x:c>
      <x:c r="F41" s="40" t="n">
        <x:v>90</x:v>
      </x:c>
      <x:c r="G41" s="41" t="n">
        <x:v>1122</x:v>
      </x:c>
    </x:row>
    <x:row r="42">
      <x:c r="A42" s="25" t="n">
        <x:v>46174</x:v>
      </x:c>
      <x:c r="B42" s="19" t="str">
        <x:v>Amazon</x:v>
      </x:c>
      <x:c r="C42" s="19" t="str">
        <x:v>Amazon ES 小米店</x:v>
      </x:c>
      <x:c r="D42" s="39" t="n">
        <x:v>145700</x:v>
      </x:c>
      <x:c r="E42" s="39" t="n">
        <x:v>28849</x:v>
      </x:c>
      <x:c r="F42" s="40" t="n">
        <x:v>95</x:v>
      </x:c>
      <x:c r="G42" s="41" t="n">
        <x:v>1147</x:v>
      </x:c>
    </x:row>
    <x:row r="43">
      <x:c r="A43" s="25" t="n">
        <x:v>46174</x:v>
      </x:c>
      <x:c r="B43" s="19" t="str">
        <x:v>Amazon</x:v>
      </x:c>
      <x:c r="C43" s="19" t="str">
        <x:v>Amazon FR 小米店</x:v>
      </x:c>
      <x:c r="D43" s="39" t="n">
        <x:v>157217</x:v>
      </x:c>
      <x:c r="E43" s="39" t="n">
        <x:v>29871</x:v>
      </x:c>
      <x:c r="F43" s="40" t="n">
        <x:v>100</x:v>
      </x:c>
      <x:c r="G43" s="41" t="n">
        <x:v>1173</x:v>
      </x:c>
    </x:row>
    <x:row r="44">
      <x:c r="A44" s="25" t="n">
        <x:v>46174</x:v>
      </x:c>
      <x:c r="B44" s="19" t="str">
        <x:v>Amazon</x:v>
      </x:c>
      <x:c r="C44" s="19" t="str">
        <x:v>Amazon IT 小米店</x:v>
      </x:c>
      <x:c r="D44" s="39" t="n">
        <x:v>152567</x:v>
      </x:c>
      <x:c r="E44" s="39" t="n">
        <x:v>30208</x:v>
      </x:c>
      <x:c r="F44" s="40" t="n">
        <x:v>105</x:v>
      </x:c>
      <x:c r="G44" s="41" t="n">
        <x:v>1082</x:v>
      </x:c>
    </x:row>
    <x:row r="45">
      <x:c r="A45" s="25" t="n">
        <x:v>46174</x:v>
      </x:c>
      <x:c r="B45" s="19" t="str">
        <x:v>速卖通</x:v>
      </x:c>
      <x:c r="C45" s="19" t="str">
        <x:v>速卖通-海托波兰小米店</x:v>
      </x:c>
      <x:c r="D45" s="39" t="n">
        <x:v>109800</x:v>
      </x:c>
      <x:c r="E45" s="39" t="n">
        <x:v>18666</x:v>
      </x:c>
      <x:c r="F45" s="40" t="n">
        <x:v>112</x:v>
      </x:c>
      <x:c r="G45" s="41" t="n">
        <x:v>796</x:v>
      </x:c>
    </x:row>
    <x:row r="46">
      <x:c r="A46" s="25" t="n">
        <x:v>46174</x:v>
      </x:c>
      <x:c r="B46" s="19" t="str">
        <x:v>速卖通</x:v>
      </x:c>
      <x:c r="C46" s="19" t="str">
        <x:v>速卖通-海托波兰创维店</x:v>
      </x:c>
      <x:c r="D46" s="39" t="n">
        <x:v>118694</x:v>
      </x:c>
      <x:c r="E46" s="39" t="n">
        <x:v>21128</x:v>
      </x:c>
      <x:c r="F46" s="40" t="n">
        <x:v>117</x:v>
      </x:c>
      <x:c r="G46" s="41" t="n">
        <x:v>819</x:v>
      </x:c>
    </x:row>
    <x:row r="47">
      <x:c r="A47" s="25" t="n">
        <x:v>46174</x:v>
      </x:c>
      <x:c r="B47" s="19" t="str">
        <x:v>速卖通</x:v>
      </x:c>
      <x:c r="C47" s="19" t="str">
        <x:v>速卖通-西班牙小米店</x:v>
      </x:c>
      <x:c r="D47" s="39" t="n">
        <x:v>115375</x:v>
      </x:c>
      <x:c r="E47" s="39" t="n">
        <x:v>19614</x:v>
      </x:c>
      <x:c r="F47" s="40" t="n">
        <x:v>122</x:v>
      </x:c>
      <x:c r="G47" s="41" t="n">
        <x:v>759</x:v>
      </x:c>
    </x:row>
    <x:row r="48">
      <x:c r="A48" s="25" t="n">
        <x:v>46174</x:v>
      </x:c>
      <x:c r="B48" s="19" t="str">
        <x:v>速卖通</x:v>
      </x:c>
      <x:c r="C48" s="19" t="str">
        <x:v>速卖通-德国创维店</x:v>
      </x:c>
      <x:c r="D48" s="39" t="n">
        <x:v>124440</x:v>
      </x:c>
      <x:c r="E48" s="39" t="n">
        <x:v>22150</x:v>
      </x:c>
      <x:c r="F48" s="40" t="n">
        <x:v>127</x:v>
      </x:c>
      <x:c r="G48" s="41" t="n">
        <x:v>783</x:v>
      </x:c>
    </x:row>
    <x:row r="49">
      <x:c r="A49" s="25" t="n">
        <x:v>46174</x:v>
      </x:c>
      <x:c r="B49" s="19" t="str">
        <x:v>线下批发</x:v>
      </x:c>
      <x:c r="C49" s="19" t="str">
        <x:v>波兰线下批发</x:v>
      </x:c>
      <x:c r="D49" s="39" t="n">
        <x:v>91287</x:v>
      </x:c>
      <x:c r="E49" s="39" t="n">
        <x:v>12780</x:v>
      </x:c>
      <x:c r="F49" s="40" t="n">
        <x:v>76</x:v>
      </x:c>
      <x:c r="G49" s="41" t="n">
        <x:v>585</x:v>
      </x:c>
    </x:row>
    <x:row r="50">
      <x:c r="A50" s="25" t="n">
        <x:v>46174</x:v>
      </x:c>
      <x:c r="B50" s="19" t="str">
        <x:v>线下批发</x:v>
      </x:c>
      <x:c r="C50" s="19" t="str">
        <x:v>西班牙线下批发</x:v>
      </x:c>
      <x:c r="D50" s="39" t="n">
        <x:v>88896</x:v>
      </x:c>
      <x:c r="E50" s="39" t="n">
        <x:v>13157</x:v>
      </x:c>
      <x:c r="F50" s="40" t="n">
        <x:v>81</x:v>
      </x:c>
      <x:c r="G50" s="41" t="n">
        <x:v>545</x:v>
      </x:c>
    </x:row>
    <x:row r="51">
      <x:c r="A51" s="25" t="n">
        <x:v>46174</x:v>
      </x:c>
      <x:c r="B51" s="19" t="str">
        <x:v>线下批发</x:v>
      </x:c>
      <x:c r="C51" s="19" t="str">
        <x:v>德国线下批发</x:v>
      </x:c>
      <x:c r="D51" s="39" t="n">
        <x:v>96040</x:v>
      </x:c>
      <x:c r="E51" s="39" t="n">
        <x:v>13446</x:v>
      </x:c>
      <x:c r="F51" s="40" t="n">
        <x:v>86</x:v>
      </x:c>
      <x:c r="G51" s="41" t="n">
        <x:v>565</x:v>
      </x:c>
    </x:row>
    <x:row r="52">
      <x:c r="A52" s="25" t="n">
        <x:v>46174</x:v>
      </x:c>
      <x:c r="B52" s="19" t="str">
        <x:v>线下批发</x:v>
      </x:c>
      <x:c r="C52" s="19" t="str">
        <x:v>法国线下批发</x:v>
      </x:c>
      <x:c r="D52" s="39" t="n">
        <x:v>103459</x:v>
      </x:c>
      <x:c r="E52" s="39" t="n">
        <x:v>15312</x:v>
      </x:c>
      <x:c r="F52" s="40" t="n">
        <x:v>91</x:v>
      </x:c>
      <x:c r="G52" s="41" t="n">
        <x:v>585</x:v>
      </x:c>
    </x:row>
    <x:row r="53">
      <x:c r="A53" s="25" t="n">
        <x:v>46204</x:v>
      </x:c>
      <x:c r="B53" s="19" t="str">
        <x:v>Amazon</x:v>
      </x:c>
      <x:c r="C53" s="19" t="str">
        <x:v>Amazon DE 小米店</x:v>
      </x:c>
      <x:c r="D53" s="39" t="n">
        <x:v>142290</x:v>
      </x:c>
      <x:c r="E53" s="39" t="n">
        <x:v>27035</x:v>
      </x:c>
      <x:c r="F53" s="40" t="n">
        <x:v>88</x:v>
      </x:c>
      <x:c r="G53" s="41" t="n">
        <x:v>1186</x:v>
      </x:c>
    </x:row>
    <x:row r="54">
      <x:c r="A54" s="25" t="n">
        <x:v>46204</x:v>
      </x:c>
      <x:c r="B54" s="19" t="str">
        <x:v>Amazon</x:v>
      </x:c>
      <x:c r="C54" s="19" t="str">
        <x:v>Amazon ES 小米店</x:v>
      </x:c>
      <x:c r="D54" s="39" t="n">
        <x:v>153714</x:v>
      </x:c>
      <x:c r="E54" s="39" t="n">
        <x:v>30435</x:v>
      </x:c>
      <x:c r="F54" s="40" t="n">
        <x:v>93</x:v>
      </x:c>
      <x:c r="G54" s="41" t="n">
        <x:v>1210</x:v>
      </x:c>
    </x:row>
    <x:row r="55">
      <x:c r="A55" s="25" t="n">
        <x:v>46204</x:v>
      </x:c>
      <x:c r="B55" s="19" t="str">
        <x:v>Amazon</x:v>
      </x:c>
      <x:c r="C55" s="19" t="str">
        <x:v>Amazon FR 小米店</x:v>
      </x:c>
      <x:c r="D55" s="39" t="n">
        <x:v>165571</x:v>
      </x:c>
      <x:c r="E55" s="39" t="n">
        <x:v>31458</x:v>
      </x:c>
      <x:c r="F55" s="40" t="n">
        <x:v>98</x:v>
      </x:c>
      <x:c r="G55" s="41" t="n">
        <x:v>1236</x:v>
      </x:c>
    </x:row>
    <x:row r="56">
      <x:c r="A56" s="25" t="n">
        <x:v>46204</x:v>
      </x:c>
      <x:c r="B56" s="19" t="str">
        <x:v>Amazon</x:v>
      </x:c>
      <x:c r="C56" s="19" t="str">
        <x:v>Amazon IT 小米店</x:v>
      </x:c>
      <x:c r="D56" s="39" t="n">
        <x:v>161262</x:v>
      </x:c>
      <x:c r="E56" s="39" t="n">
        <x:v>31930</x:v>
      </x:c>
      <x:c r="F56" s="40" t="n">
        <x:v>103</x:v>
      </x:c>
      <x:c r="G56" s="41" t="n">
        <x:v>1144</x:v>
      </x:c>
    </x:row>
    <x:row r="57">
      <x:c r="A57" s="25" t="n">
        <x:v>46204</x:v>
      </x:c>
      <x:c r="B57" s="19" t="str">
        <x:v>速卖通</x:v>
      </x:c>
      <x:c r="C57" s="19" t="str">
        <x:v>速卖通-海托波兰小米店</x:v>
      </x:c>
      <x:c r="D57" s="39" t="n">
        <x:v>115839</x:v>
      </x:c>
      <x:c r="E57" s="39" t="n">
        <x:v>19693</x:v>
      </x:c>
      <x:c r="F57" s="40" t="n">
        <x:v>110</x:v>
      </x:c>
      <x:c r="G57" s="41" t="n">
        <x:v>839</x:v>
      </x:c>
    </x:row>
    <x:row r="58">
      <x:c r="A58" s="25" t="n">
        <x:v>46204</x:v>
      </x:c>
      <x:c r="B58" s="19" t="str">
        <x:v>速卖通</x:v>
      </x:c>
      <x:c r="C58" s="19" t="str">
        <x:v>速卖通-海托波兰创维店</x:v>
      </x:c>
      <x:c r="D58" s="39" t="n">
        <x:v>125001</x:v>
      </x:c>
      <x:c r="E58" s="39" t="n">
        <x:v>22250</x:v>
      </x:c>
      <x:c r="F58" s="40" t="n">
        <x:v>115</x:v>
      </x:c>
      <x:c r="G58" s="41" t="n">
        <x:v>862</x:v>
      </x:c>
    </x:row>
    <x:row r="59">
      <x:c r="A59" s="25" t="n">
        <x:v>46204</x:v>
      </x:c>
      <x:c r="B59" s="19" t="str">
        <x:v>速卖通</x:v>
      </x:c>
      <x:c r="C59" s="19" t="str">
        <x:v>速卖通-西班牙小米店</x:v>
      </x:c>
      <x:c r="D59" s="39" t="n">
        <x:v>121951</x:v>
      </x:c>
      <x:c r="E59" s="39" t="n">
        <x:v>20732</x:v>
      </x:c>
      <x:c r="F59" s="40" t="n">
        <x:v>120</x:v>
      </x:c>
      <x:c r="G59" s="41" t="n">
        <x:v>802</x:v>
      </x:c>
    </x:row>
    <x:row r="60">
      <x:c r="A60" s="25" t="n">
        <x:v>46204</x:v>
      </x:c>
      <x:c r="B60" s="19" t="str">
        <x:v>速卖通</x:v>
      </x:c>
      <x:c r="C60" s="19" t="str">
        <x:v>速卖通-德国创维店</x:v>
      </x:c>
      <x:c r="D60" s="39" t="n">
        <x:v>131284</x:v>
      </x:c>
      <x:c r="E60" s="39" t="n">
        <x:v>23369</x:v>
      </x:c>
      <x:c r="F60" s="40" t="n">
        <x:v>125</x:v>
      </x:c>
      <x:c r="G60" s="41" t="n">
        <x:v>826</x:v>
      </x:c>
    </x:row>
    <x:row r="61">
      <x:c r="A61" s="25" t="n">
        <x:v>46204</x:v>
      </x:c>
      <x:c r="B61" s="19" t="str">
        <x:v>线下批发</x:v>
      </x:c>
      <x:c r="C61" s="19" t="str">
        <x:v>波兰线下批发</x:v>
      </x:c>
      <x:c r="D61" s="39" t="n">
        <x:v>96138</x:v>
      </x:c>
      <x:c r="E61" s="39" t="n">
        <x:v>13459</x:v>
      </x:c>
      <x:c r="F61" s="40" t="n">
        <x:v>74</x:v>
      </x:c>
      <x:c r="G61" s="41" t="n">
        <x:v>616</x:v>
      </x:c>
    </x:row>
    <x:row r="62">
      <x:c r="A62" s="25" t="n">
        <x:v>46204</x:v>
      </x:c>
      <x:c r="B62" s="19" t="str">
        <x:v>线下批发</x:v>
      </x:c>
      <x:c r="C62" s="19" t="str">
        <x:v>西班牙线下批发</x:v>
      </x:c>
      <x:c r="D62" s="39" t="n">
        <x:v>93962</x:v>
      </x:c>
      <x:c r="E62" s="39" t="n">
        <x:v>13906</x:v>
      </x:c>
      <x:c r="F62" s="40" t="n">
        <x:v>79</x:v>
      </x:c>
      <x:c r="G62" s="41" t="n">
        <x:v>576</x:v>
      </x:c>
    </x:row>
    <x:row r="63">
      <x:c r="A63" s="25" t="n">
        <x:v>46204</x:v>
      </x:c>
      <x:c r="B63" s="19" t="str">
        <x:v>线下批发</x:v>
      </x:c>
      <x:c r="C63" s="19" t="str">
        <x:v>德国线下批发</x:v>
      </x:c>
      <x:c r="D63" s="39" t="n">
        <x:v>101322</x:v>
      </x:c>
      <x:c r="E63" s="39" t="n">
        <x:v>14185</x:v>
      </x:c>
      <x:c r="F63" s="40" t="n">
        <x:v>84</x:v>
      </x:c>
      <x:c r="G63" s="41" t="n">
        <x:v>596</x:v>
      </x:c>
    </x:row>
    <x:row r="64">
      <x:c r="A64" s="25" t="n">
        <x:v>46204</x:v>
      </x:c>
      <x:c r="B64" s="19" t="str">
        <x:v>线下批发</x:v>
      </x:c>
      <x:c r="C64" s="19" t="str">
        <x:v>法国线下批发</x:v>
      </x:c>
      <x:c r="D64" s="39" t="n">
        <x:v>108956</x:v>
      </x:c>
      <x:c r="E64" s="39" t="n">
        <x:v>16125</x:v>
      </x:c>
      <x:c r="F64" s="40" t="n">
        <x:v>89</x:v>
      </x:c>
      <x:c r="G64" s="41" t="n">
        <x:v>616</x:v>
      </x:c>
    </x:row>
    <x:row r="65">
      <x:c r="A65" s="25" t="n">
        <x:v>46235</x:v>
      </x:c>
      <x:c r="B65" s="19" t="str">
        <x:v>Amazon</x:v>
      </x:c>
      <x:c r="C65" s="19" t="str">
        <x:v>Amazon DE 小米店</x:v>
      </x:c>
      <x:c r="D65" s="39" t="n">
        <x:v>149963</x:v>
      </x:c>
      <x:c r="E65" s="39" t="n">
        <x:v>28493</x:v>
      </x:c>
      <x:c r="F65" s="40" t="n">
        <x:v>86</x:v>
      </x:c>
      <x:c r="G65" s="41" t="n">
        <x:v>1250</x:v>
      </x:c>
    </x:row>
    <x:row r="66">
      <x:c r="A66" s="25" t="n">
        <x:v>46235</x:v>
      </x:c>
      <x:c r="B66" s="19" t="str">
        <x:v>Amazon</x:v>
      </x:c>
      <x:c r="C66" s="19" t="str">
        <x:v>Amazon ES 小米店</x:v>
      </x:c>
      <x:c r="D66" s="39" t="n">
        <x:v>161727</x:v>
      </x:c>
      <x:c r="E66" s="39" t="n">
        <x:v>32022</x:v>
      </x:c>
      <x:c r="F66" s="40" t="n">
        <x:v>91</x:v>
      </x:c>
      <x:c r="G66" s="41" t="n">
        <x:v>1273</x:v>
      </x:c>
    </x:row>
    <x:row r="67">
      <x:c r="A67" s="25" t="n">
        <x:v>46235</x:v>
      </x:c>
      <x:c r="B67" s="19" t="str">
        <x:v>Amazon</x:v>
      </x:c>
      <x:c r="C67" s="19" t="str">
        <x:v>Amazon FR 小米店</x:v>
      </x:c>
      <x:c r="D67" s="39" t="n">
        <x:v>173926</x:v>
      </x:c>
      <x:c r="E67" s="39" t="n">
        <x:v>33046</x:v>
      </x:c>
      <x:c r="F67" s="40" t="n">
        <x:v>96</x:v>
      </x:c>
      <x:c r="G67" s="41" t="n">
        <x:v>1298</x:v>
      </x:c>
    </x:row>
    <x:row r="68">
      <x:c r="A68" s="25" t="n">
        <x:v>46235</x:v>
      </x:c>
      <x:c r="B68" s="19" t="str">
        <x:v>Amazon</x:v>
      </x:c>
      <x:c r="C68" s="19" t="str">
        <x:v>Amazon IT 小米店</x:v>
      </x:c>
      <x:c r="D68" s="39" t="n">
        <x:v>169958</x:v>
      </x:c>
      <x:c r="E68" s="39" t="n">
        <x:v>33652</x:v>
      </x:c>
      <x:c r="F68" s="40" t="n">
        <x:v>101</x:v>
      </x:c>
      <x:c r="G68" s="41" t="n">
        <x:v>1205</x:v>
      </x:c>
    </x:row>
    <x:row r="69">
      <x:c r="A69" s="25" t="n">
        <x:v>46235</x:v>
      </x:c>
      <x:c r="B69" s="19" t="str">
        <x:v>速卖通</x:v>
      </x:c>
      <x:c r="C69" s="19" t="str">
        <x:v>速卖通-海托波兰小米店</x:v>
      </x:c>
      <x:c r="D69" s="39" t="n">
        <x:v>121878</x:v>
      </x:c>
      <x:c r="E69" s="39" t="n">
        <x:v>20719</x:v>
      </x:c>
      <x:c r="F69" s="40" t="n">
        <x:v>108</x:v>
      </x:c>
      <x:c r="G69" s="41" t="n">
        <x:v>883</x:v>
      </x:c>
    </x:row>
    <x:row r="70">
      <x:c r="A70" s="25" t="n">
        <x:v>46235</x:v>
      </x:c>
      <x:c r="B70" s="19" t="str">
        <x:v>速卖通</x:v>
      </x:c>
      <x:c r="C70" s="19" t="str">
        <x:v>速卖通-海托波兰创维店</x:v>
      </x:c>
      <x:c r="D70" s="39" t="n">
        <x:v>131309</x:v>
      </x:c>
      <x:c r="E70" s="39" t="n">
        <x:v>23373</x:v>
      </x:c>
      <x:c r="F70" s="40" t="n">
        <x:v>113</x:v>
      </x:c>
      <x:c r="G70" s="41" t="n">
        <x:v>906</x:v>
      </x:c>
    </x:row>
    <x:row r="71">
      <x:c r="A71" s="25" t="n">
        <x:v>46235</x:v>
      </x:c>
      <x:c r="B71" s="19" t="str">
        <x:v>速卖通</x:v>
      </x:c>
      <x:c r="C71" s="19" t="str">
        <x:v>速卖通-西班牙小米店</x:v>
      </x:c>
      <x:c r="D71" s="39" t="n">
        <x:v>128527</x:v>
      </x:c>
      <x:c r="E71" s="39" t="n">
        <x:v>21850</x:v>
      </x:c>
      <x:c r="F71" s="40" t="n">
        <x:v>118</x:v>
      </x:c>
      <x:c r="G71" s="41" t="n">
        <x:v>846</x:v>
      </x:c>
    </x:row>
    <x:row r="72">
      <x:c r="A72" s="25" t="n">
        <x:v>46235</x:v>
      </x:c>
      <x:c r="B72" s="19" t="str">
        <x:v>速卖通</x:v>
      </x:c>
      <x:c r="C72" s="19" t="str">
        <x:v>速卖通-德国创维店</x:v>
      </x:c>
      <x:c r="D72" s="39" t="n">
        <x:v>138128</x:v>
      </x:c>
      <x:c r="E72" s="39" t="n">
        <x:v>24587</x:v>
      </x:c>
      <x:c r="F72" s="40" t="n">
        <x:v>123</x:v>
      </x:c>
      <x:c r="G72" s="41" t="n">
        <x:v>869</x:v>
      </x:c>
    </x:row>
    <x:row r="73">
      <x:c r="A73" s="25" t="n">
        <x:v>46235</x:v>
      </x:c>
      <x:c r="B73" s="19" t="str">
        <x:v>线下批发</x:v>
      </x:c>
      <x:c r="C73" s="19" t="str">
        <x:v>波兰线下批发</x:v>
      </x:c>
      <x:c r="D73" s="39" t="n">
        <x:v>100989</x:v>
      </x:c>
      <x:c r="E73" s="39" t="n">
        <x:v>14138</x:v>
      </x:c>
      <x:c r="F73" s="40" t="n">
        <x:v>72</x:v>
      </x:c>
      <x:c r="G73" s="41" t="n">
        <x:v>647</x:v>
      </x:c>
    </x:row>
    <x:row r="74">
      <x:c r="A74" s="25" t="n">
        <x:v>46235</x:v>
      </x:c>
      <x:c r="B74" s="19" t="str">
        <x:v>线下批发</x:v>
      </x:c>
      <x:c r="C74" s="19" t="str">
        <x:v>西班牙线下批发</x:v>
      </x:c>
      <x:c r="D74" s="39" t="n">
        <x:v>99029</x:v>
      </x:c>
      <x:c r="E74" s="39" t="n">
        <x:v>14656</x:v>
      </x:c>
      <x:c r="F74" s="40" t="n">
        <x:v>77</x:v>
      </x:c>
      <x:c r="G74" s="41" t="n">
        <x:v>608</x:v>
      </x:c>
    </x:row>
    <x:row r="75">
      <x:c r="A75" s="25" t="n">
        <x:v>46235</x:v>
      </x:c>
      <x:c r="B75" s="19" t="str">
        <x:v>线下批发</x:v>
      </x:c>
      <x:c r="C75" s="19" t="str">
        <x:v>德国线下批发</x:v>
      </x:c>
      <x:c r="D75" s="39" t="n">
        <x:v>106604</x:v>
      </x:c>
      <x:c r="E75" s="39" t="n">
        <x:v>14925</x:v>
      </x:c>
      <x:c r="F75" s="40" t="n">
        <x:v>82</x:v>
      </x:c>
      <x:c r="G75" s="41" t="n">
        <x:v>627</x:v>
      </x:c>
    </x:row>
    <x:row r="76">
      <x:c r="A76" s="26" t="n">
        <x:v>46235</x:v>
      </x:c>
      <x:c r="B76" s="22" t="str">
        <x:v>线下批发</x:v>
      </x:c>
      <x:c r="C76" s="22" t="str">
        <x:v>法国线下批发</x:v>
      </x:c>
      <x:c r="D76" s="42" t="n">
        <x:v>114454</x:v>
      </x:c>
      <x:c r="E76" s="42" t="n">
        <x:v>16939</x:v>
      </x:c>
      <x:c r="F76" s="43" t="n">
        <x:v>87</x:v>
      </x:c>
      <x:c r="G76" s="44" t="n">
        <x:v>647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45" t="str">
        <x:v>渠道经营汇总（按统计月份）</x:v>
      </x:c>
      <x:c r="B1" s="45"/>
      <x:c r="C1" s="45"/>
      <x:c r="D1" s="45"/>
      <x:c r="E1" s="45"/>
      <x:c r="F1" s="45"/>
    </x:row>
    <x:row r="3">
      <x:c r="A3" s="50" t="str">
        <x:v>统计月份</x:v>
      </x:c>
      <x:c r="B3" s="51" t="n">
        <x:v>46235</x:v>
      </x:c>
    </x:row>
    <x:row r="5">
      <x:c r="A5" s="52" t="str">
        <x:v>渠道</x:v>
      </x:c>
      <x:c r="B5" s="52" t="str">
        <x:v>GMV（欧元）</x:v>
      </x:c>
      <x:c r="C5" s="52" t="str">
        <x:v>销售毛利（欧元）</x:v>
      </x:c>
      <x:c r="D5" s="52" t="str">
        <x:v>库存周转天数</x:v>
      </x:c>
      <x:c r="E5" s="52" t="str">
        <x:v>店铺数量</x:v>
      </x:c>
      <x:c r="F5" s="52" t="str">
        <x:v>订单量</x:v>
      </x:c>
    </x:row>
    <x:row r="6">
      <x:c r="A6" s="53" t="str">
        <x:v>Amazon</x:v>
      </x:c>
      <x:c r="B6" s="56" t="n">
        <x:f>SUMIFS('渠道店铺明细'!$D$5:$D$76,'渠道店铺明细'!$B$5:$B$76,$A6,'渠道店铺明细'!$A$5:$A$76,$B$3)</x:f>
        <x:v>655574</x:v>
      </x:c>
      <x:c r="C6" s="56" t="n">
        <x:f>SUMIFS('渠道店铺明细'!$E$5:$E$76,'渠道店铺明细'!$B$5:$B$76,$A6,'渠道店铺明细'!$A$5:$A$76,$B$3)</x:f>
        <x:v>127213</x:v>
      </x:c>
      <x:c r="D6" s="57" t="n">
        <x:f>IFERROR(SUMIFS('渠道店铺明细'!$F$5:$F$76,'渠道店铺明细'!$B$5:$B$76,$A6,'渠道店铺明细'!$A$5:$A$76,$B$3)/COUNTIFS('渠道店铺明细'!$B$5:$B$76,$A6,'渠道店铺明细'!$A$5:$A$76,$B$3),0)</x:f>
        <x:v>93.5</x:v>
      </x:c>
      <x:c r="E6" s="56" t="n">
        <x:f>COUNTIFS('渠道店铺明细'!$B$5:$B$76,$A6,'渠道店铺明细'!$A$5:$A$76,$B$3)</x:f>
        <x:v>4</x:v>
      </x:c>
      <x:c r="F6" s="56" t="n">
        <x:f>SUMIFS('渠道店铺明细'!$G$5:$G$76,'渠道店铺明细'!$B$5:$B$76,$A6,'渠道店铺明细'!$A$5:$A$76,$B$3)</x:f>
        <x:v>5026</x:v>
      </x:c>
    </x:row>
    <x:row r="7">
      <x:c r="A7" s="53" t="str">
        <x:v>速卖通</x:v>
      </x:c>
      <x:c r="B7" s="56" t="n">
        <x:f>SUMIFS('渠道店铺明细'!$D$5:$D$76,'渠道店铺明细'!$B$5:$B$76,$A7,'渠道店铺明细'!$A$5:$A$76,$B$3)</x:f>
        <x:v>519842</x:v>
      </x:c>
      <x:c r="C7" s="56" t="n">
        <x:f>SUMIFS('渠道店铺明细'!$E$5:$E$76,'渠道店铺明细'!$B$5:$B$76,$A7,'渠道店铺明细'!$A$5:$A$76,$B$3)</x:f>
        <x:v>90529</x:v>
      </x:c>
      <x:c r="D7" s="57" t="n">
        <x:f>IFERROR(SUMIFS('渠道店铺明细'!$F$5:$F$76,'渠道店铺明细'!$B$5:$B$76,$A7,'渠道店铺明细'!$A$5:$A$76,$B$3)/COUNTIFS('渠道店铺明细'!$B$5:$B$76,$A7,'渠道店铺明细'!$A$5:$A$76,$B$3),0)</x:f>
        <x:v>115.5</x:v>
      </x:c>
      <x:c r="E7" s="56" t="n">
        <x:f>COUNTIFS('渠道店铺明细'!$B$5:$B$76,$A7,'渠道店铺明细'!$A$5:$A$76,$B$3)</x:f>
        <x:v>4</x:v>
      </x:c>
      <x:c r="F7" s="56" t="n">
        <x:f>SUMIFS('渠道店铺明细'!$G$5:$G$76,'渠道店铺明细'!$B$5:$B$76,$A7,'渠道店铺明细'!$A$5:$A$76,$B$3)</x:f>
        <x:v>3504</x:v>
      </x:c>
    </x:row>
    <x:row r="8">
      <x:c r="A8" s="53" t="str">
        <x:v>线下批发</x:v>
      </x:c>
      <x:c r="B8" s="56" t="n">
        <x:f>SUMIFS('渠道店铺明细'!$D$5:$D$76,'渠道店铺明细'!$B$5:$B$76,$A8,'渠道店铺明细'!$A$5:$A$76,$B$3)</x:f>
        <x:v>421076</x:v>
      </x:c>
      <x:c r="C8" s="56" t="n">
        <x:f>SUMIFS('渠道店铺明细'!$E$5:$E$76,'渠道店铺明细'!$B$5:$B$76,$A8,'渠道店铺明细'!$A$5:$A$76,$B$3)</x:f>
        <x:v>60658</x:v>
      </x:c>
      <x:c r="D8" s="57" t="n">
        <x:f>IFERROR(SUMIFS('渠道店铺明细'!$F$5:$F$76,'渠道店铺明细'!$B$5:$B$76,$A8,'渠道店铺明细'!$A$5:$A$76,$B$3)/COUNTIFS('渠道店铺明细'!$B$5:$B$76,$A8,'渠道店铺明细'!$A$5:$A$76,$B$3),0)</x:f>
        <x:v>79.5</x:v>
      </x:c>
      <x:c r="E8" s="56" t="n">
        <x:f>COUNTIFS('渠道店铺明细'!$B$5:$B$76,$A8,'渠道店铺明细'!$A$5:$A$76,$B$3)</x:f>
        <x:v>4</x:v>
      </x:c>
      <x:c r="F8" s="56" t="n">
        <x:f>SUMIFS('渠道店铺明细'!$G$5:$G$76,'渠道店铺明细'!$B$5:$B$76,$A8,'渠道店铺明细'!$A$5:$A$76,$B$3)</x:f>
        <x:v>2529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52" hidden="0" customWidth="1"/>
    <x:col min="4" max="4" width="12" hidden="0" customWidth="1"/>
  </x:cols>
  <x:sheetData>
    <x:row r="1" ht="30" customHeight="1">
      <x:c r="A1" s="45" t="str">
        <x:v>大盘任务进度看板 · 导入与绑定说明</x:v>
      </x:c>
      <x:c r="B1" s="45"/>
      <x:c r="C1" s="45"/>
      <x:c r="D1" s="45"/>
    </x:row>
    <x:row r="3">
      <x:c r="A3" s="52" t="str">
        <x:v>配置项</x:v>
      </x:c>
      <x:c r="B3" s="52" t="str">
        <x:v>选择字段</x:v>
      </x:c>
      <x:c r="C3" s="52" t="str">
        <x:v>说明</x:v>
      </x:c>
      <x:c r="D3" s="52" t="str">
        <x:v>必填</x:v>
      </x:c>
    </x:row>
    <x:row r="4" ht="28" customHeight="1">
      <x:c r="A4" s="60" t="str">
        <x:v>日期字段</x:v>
      </x:c>
      <x:c r="B4" s="59" t="str">
        <x:v>订单时间</x:v>
      </x:c>
      <x:c r="C4" s="59" t="str">
        <x:v>用于月度、年度选择器过滤数据。</x:v>
      </x:c>
      <x:c r="D4" s="61" t="str">
        <x:v>是</x:v>
      </x:c>
    </x:row>
    <x:row r="5" ht="28" customHeight="1">
      <x:c r="A5" s="60" t="str">
        <x:v>维度</x:v>
      </x:c>
      <x:c r="B5" s="59" t="str">
        <x:v>渠道</x:v>
      </x:c>
      <x:c r="C5" s="59" t="str">
        <x:v>排名列表按渠道汇总展示。</x:v>
      </x:c>
      <x:c r="D5" s="61" t="str">
        <x:v>是</x:v>
      </x:c>
    </x:row>
    <x:row r="6" ht="28" customHeight="1">
      <x:c r="A6" s="60" t="str">
        <x:v>店铺维度</x:v>
      </x:c>
      <x:c r="B6" s="59" t="str">
        <x:v>店铺</x:v>
      </x:c>
      <x:c r="C6" s="59" t="str">
        <x:v>在“配置渠道”中按渠道筛选、搜索和勾选店铺。</x:v>
      </x:c>
      <x:c r="D6" s="61" t="str">
        <x:v>建议</x:v>
      </x:c>
    </x:row>
    <x:row r="7" ht="28" customHeight="1">
      <x:c r="A7" s="60" t="str">
        <x:v>实际指标</x:v>
      </x:c>
      <x:c r="B7" s="59" t="str">
        <x:v>GMV、销售毛利、库存周转天数</x:v>
      </x:c>
      <x:c r="C7" s="59" t="str">
        <x:v>作为三项完成度的实际值。</x:v>
      </x:c>
      <x:c r="D7" s="61" t="str">
        <x:v>是</x:v>
      </x:c>
    </x:row>
    <x:row r="8" ht="28" customHeight="1">
      <x:c r="A8" s="60" t="str">
        <x:v>渠道目标</x:v>
      </x:c>
      <x:c r="B8" s="59" t="str">
        <x:v>在图表的“配置渠道”中录入</x:v>
      </x:c>
      <x:c r="C8" s="59" t="str">
        <x:v>按渠道维护 GMV、毛利与周转目标天数。</x:v>
      </x:c>
      <x:c r="D8" s="61" t="str">
        <x:v>是</x:v>
      </x:c>
    </x:row>
  </x:sheetData>
  <x:mergeCells>
    <x:mergeCell ref="A1:D1"/>
  </x:mergeCells>
  <x:pageMargins left="0.7" right="0.7" top="0.75" bottom="0.75" header="0.3" footer="0.3"/>
</x:worksheet>
</file>