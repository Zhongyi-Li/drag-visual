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7a90ed820b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目标任务数据" sheetId="1" r:id="R8dee2aa9c5e4401d"/>
    <x:sheet xmlns:r="http://schemas.openxmlformats.org/officeDocument/2006/relationships" name="使用说明" sheetId="2" r:id="Rc3717dea628f45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"/>
    <x:numFmt numFmtId="201" formatCode="€#,##0"/>
    <x:numFmt numFmtId="202" formatCode="#,##0"/>
    <x:numFmt numFmtId="203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2B4D"/>
      <x:name val="Carlito"/>
    </x:font>
    <x:font>
      <x:b/>
      <x:sz val="16"/>
      <x:color rgb="FFFFFFFF"/>
      <x:name val="Carlito"/>
    </x:font>
    <x:font>
      <x:b/>
      <x:sz val="11"/>
      <x:color rgb="FF173A70"/>
      <x:name val="Carlito"/>
    </x:font>
    <x:font>
      <x:sz val="11"/>
      <x:color rgb="FF37516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F6BFF"/>
      </x:patternFill>
    </x:fill>
    <x:fill>
      <x:patternFill patternType="solid">
        <x:fgColor rgb="FFF7FBFF"/>
      </x:patternFill>
    </x:fill>
    <x:fill>
      <x:patternFill patternType="solid">
        <x:fgColor rgb="FFF4F6F8"/>
      </x:patternFill>
    </x:fill>
    <x:fill>
      <x:patternFill patternType="solid">
        <x:fgColor rgb="FF173A70"/>
      </x:patternFill>
    </x:fill>
    <x:fill>
      <x:patternFill patternType="solid">
        <x:fgColor rgb="FFEAF2FF"/>
      </x:patternFill>
    </x:fill>
  </x:fills>
  <x:borders count="29">
    <x:border/>
    <x:border>
      <x:left style="thin">
        <x:color rgb="FF1D4ED8"/>
      </x:left>
      <x:top style="thin">
        <x:color rgb="FF1D4ED8"/>
      </x:top>
      <x:bottom style="thin">
        <x:color rgb="FF1D4ED8"/>
      </x:bottom>
    </x:border>
    <x:border>
      <x:top style="thin">
        <x:color rgb="FF1D4ED8"/>
      </x:top>
      <x:bottom style="thin">
        <x:color rgb="FF1D4ED8"/>
      </x:bottom>
    </x:border>
    <x:border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right style="thin">
        <x:color rgb="FFDCE6F2"/>
      </x:right>
      <x:bottom style="thin">
        <x:color rgb="FFDCE6F2"/>
      </x:bottom>
    </x:border>
    <x:border>
      <x:left style="thin">
        <x:color rgb="FFDCE6F2"/>
      </x:left>
      <x:right style="thin">
        <x:color rgb="FFDCE6F2"/>
      </x:right>
      <x:bottom style="thin">
        <x:color rgb="FFDCE6F2"/>
      </x:bottom>
    </x:border>
    <x:border>
      <x:left style="thin">
        <x:color rgb="FFDCE6F2"/>
      </x:left>
      <x:bottom style="thin">
        <x:color rgb="FFDCE6F2"/>
      </x:bottom>
    </x:border>
    <x:border>
      <x:right style="thin">
        <x:color rgb="FFDCE6F2"/>
      </x:right>
      <x:top style="thin">
        <x:color rgb="FFDCE6F2"/>
      </x:top>
      <x:bottom style="thin">
        <x:color rgb="FFDCE6F2"/>
      </x:bottom>
    </x:border>
    <x:border>
      <x:left style="thin">
        <x:color rgb="FFDCE6F2"/>
      </x:left>
      <x:right style="thin">
        <x:color rgb="FFDCE6F2"/>
      </x:right>
      <x:top style="thin">
        <x:color rgb="FFDCE6F2"/>
      </x:top>
      <x:bottom style="thin">
        <x:color rgb="FFDCE6F2"/>
      </x:bottom>
    </x:border>
    <x:border>
      <x:left style="thin">
        <x:color rgb="FFDCE6F2"/>
      </x:left>
      <x:top style="thin">
        <x:color rgb="FFDCE6F2"/>
      </x:top>
      <x:bottom style="thin">
        <x:color rgb="FFDCE6F2"/>
      </x:bottom>
    </x:border>
    <x:border>
      <x:right style="thin">
        <x:color rgb="FFDCE6F2"/>
      </x:right>
      <x:top style="thin">
        <x:color rgb="FFDCE6F2"/>
      </x:top>
    </x:border>
    <x:border>
      <x:left style="thin">
        <x:color rgb="FFDCE6F2"/>
      </x:left>
      <x:right style="thin">
        <x:color rgb="FFDCE6F2"/>
      </x:right>
      <x:top style="thin">
        <x:color rgb="FFDCE6F2"/>
      </x:top>
    </x:border>
    <x:border>
      <x:left style="thin">
        <x:color rgb="FFDCE6F2"/>
      </x:left>
      <x:top style="thin">
        <x:color rgb="FFDCE6F2"/>
      </x:top>
    </x:border>
    <x:border>
      <x:left style="thin">
        <x:color rgb="FFB9C9DD"/>
      </x:left>
      <x:right style="thin">
        <x:color rgb="FFDCE6F2"/>
      </x:right>
      <x:top style="thin">
        <x:color rgb="FFB9C9DD"/>
      </x:top>
      <x:bottom style="thin">
        <x:color rgb="FFDCE6F2"/>
      </x:bottom>
    </x:border>
    <x:border>
      <x:left style="thin">
        <x:color rgb="FFDCE6F2"/>
      </x:left>
      <x:right style="thin">
        <x:color rgb="FFDCE6F2"/>
      </x:right>
      <x:top style="thin">
        <x:color rgb="FFB9C9DD"/>
      </x:top>
      <x:bottom style="thin">
        <x:color rgb="FFDCE6F2"/>
      </x:bottom>
    </x:border>
    <x:border>
      <x:left style="thin">
        <x:color rgb="FFDCE6F2"/>
      </x:left>
      <x:top style="thin">
        <x:color rgb="FFB9C9DD"/>
      </x:top>
      <x:bottom style="thin">
        <x:color rgb="FFDCE6F2"/>
      </x:bottom>
    </x:border>
    <x:border>
      <x:right style="thin">
        <x:color rgb="FFDCE6F2"/>
      </x:right>
      <x:top style="thin">
        <x:color rgb="FFB9C9DD"/>
      </x:top>
      <x:bottom style="thin">
        <x:color rgb="FFDCE6F2"/>
      </x:bottom>
    </x:border>
    <x:border>
      <x:left style="thin">
        <x:color rgb="FFDCE6F2"/>
      </x:left>
      <x:right style="thin">
        <x:color rgb="FFB9C9DD"/>
      </x:right>
      <x:top style="thin">
        <x:color rgb="FFB9C9DD"/>
      </x:top>
      <x:bottom style="thin">
        <x:color rgb="FFDCE6F2"/>
      </x:bottom>
    </x:border>
    <x:border>
      <x:left style="thin">
        <x:color rgb="FFB9C9DD"/>
      </x:left>
      <x:right style="thin">
        <x:color rgb="FFDCE6F2"/>
      </x:right>
      <x:top style="thin">
        <x:color rgb="FFDCE6F2"/>
      </x:top>
      <x:bottom style="thin">
        <x:color rgb="FFDCE6F2"/>
      </x:bottom>
    </x:border>
    <x:border>
      <x:left style="thin">
        <x:color rgb="FFDCE6F2"/>
      </x:left>
      <x:right style="thin">
        <x:color rgb="FFB9C9DD"/>
      </x:right>
      <x:top style="thin">
        <x:color rgb="FFDCE6F2"/>
      </x:top>
      <x:bottom style="thin">
        <x:color rgb="FFDCE6F2"/>
      </x:bottom>
    </x:border>
    <x:border>
      <x:left style="thin">
        <x:color rgb="FFB9C9DD"/>
      </x:left>
      <x:right style="thin">
        <x:color rgb="FFDCE6F2"/>
      </x:right>
      <x:top style="thin">
        <x:color rgb="FFDCE6F2"/>
      </x:top>
      <x:bottom style="thin">
        <x:color rgb="FFB9C9DD"/>
      </x:bottom>
    </x:border>
    <x:border>
      <x:left style="thin">
        <x:color rgb="FFDCE6F2"/>
      </x:left>
      <x:right style="thin">
        <x:color rgb="FFDCE6F2"/>
      </x:right>
      <x:top style="thin">
        <x:color rgb="FFDCE6F2"/>
      </x:top>
      <x:bottom style="thin">
        <x:color rgb="FFB9C9DD"/>
      </x:bottom>
    </x:border>
    <x:border>
      <x:left style="thin">
        <x:color rgb="FFDCE6F2"/>
      </x:left>
      <x:top style="thin">
        <x:color rgb="FFDCE6F2"/>
      </x:top>
      <x:bottom style="thin">
        <x:color rgb="FFB9C9DD"/>
      </x:bottom>
    </x:border>
    <x:border>
      <x:right style="thin">
        <x:color rgb="FFDCE6F2"/>
      </x:right>
      <x:top style="thin">
        <x:color rgb="FFDCE6F2"/>
      </x:top>
      <x:bottom style="thin">
        <x:color rgb="FFB9C9DD"/>
      </x:bottom>
    </x:border>
    <x:border>
      <x:left style="thin">
        <x:color rgb="FFDCE6F2"/>
      </x:left>
      <x:right style="thin">
        <x:color rgb="FFB9C9DD"/>
      </x:right>
      <x:top style="thin">
        <x:color rgb="FFDCE6F2"/>
      </x:top>
      <x:bottom style="thin">
        <x:color rgb="FFB9C9DD"/>
      </x:bottom>
    </x:border>
    <x:border>
      <x:left style="thin">
        <x:color rgb="FFD7E1EF"/>
      </x:left>
      <x:right style="thin">
        <x:color rgb="FFD7E1EF"/>
      </x:right>
      <x:top style="thin">
        <x:color rgb="FFD7E1EF"/>
      </x:top>
      <x:bottom style="thin">
        <x:color rgb="FFD7E1EF"/>
      </x:bottom>
    </x:border>
    <x:border>
      <x:left style="thin">
        <x:color rgb="FFAFC6E9"/>
      </x:left>
      <x:top style="thin">
        <x:color rgb="FFAFC6E9"/>
      </x:top>
      <x:bottom style="thin">
        <x:color rgb="FFAFC6E9"/>
      </x:bottom>
    </x:border>
    <x:border>
      <x:top style="thin">
        <x:color rgb="FFAFC6E9"/>
      </x:top>
      <x:bottom style="thin">
        <x:color rgb="FFAFC6E9"/>
      </x:bottom>
    </x:border>
    <x:border>
      <x:right style="thin">
        <x:color rgb="FFAFC6E9"/>
      </x:right>
      <x:top style="thin">
        <x:color rgb="FFAFC6E9"/>
      </x:top>
      <x:bottom style="thin">
        <x:color rgb="FFAFC6E9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4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0" fontId="0" fillId="3" borderId="7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0" fontId="0" fillId="3" borderId="10" xfId="0" applyNumberFormat="1" applyFont="1" applyFill="1" applyBorder="1" applyAlignment="1">
      <x:alignment vertical="center"/>
    </x:xf>
    <x:xf numFmtId="0" fontId="0" fillId="3" borderId="11" xfId="0" applyNumberFormat="1" applyFont="1" applyFill="1" applyBorder="1" applyAlignment="1">
      <x:alignment vertical="center"/>
    </x:xf>
    <x:xf numFmtId="0" fontId="0" fillId="3" borderId="1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vertical="center"/>
    </x:xf>
    <x:xf numFmtId="0" fontId="0" fillId="4" borderId="5" xfId="0" applyNumberFormat="1" applyFont="1" applyFill="1" applyBorder="1" applyAlignment="1">
      <x:alignment vertical="center"/>
    </x:xf>
    <x:xf numFmtId="0" fontId="0" fillId="4" borderId="6" xfId="0" applyNumberFormat="1" applyFont="1" applyFill="1" applyBorder="1" applyAlignment="1">
      <x:alignment vertical="center"/>
    </x:xf>
    <x:xf numFmtId="0" fontId="0" fillId="4" borderId="7" xfId="0" applyNumberFormat="1" applyFont="1" applyFill="1" applyBorder="1" applyAlignment="1">
      <x:alignment vertical="center"/>
    </x:xf>
    <x:xf numFmtId="0" fontId="0" fillId="4" borderId="8" xfId="0" applyNumberFormat="1" applyFont="1" applyFill="1" applyBorder="1" applyAlignment="1">
      <x:alignment vertical="center"/>
    </x:xf>
    <x:xf numFmtId="0" fontId="0" fillId="4" borderId="9" xfId="0" applyNumberFormat="1" applyFont="1" applyFill="1" applyBorder="1" applyAlignment="1">
      <x:alignment vertical="center"/>
    </x:xf>
    <x:xf numFmtId="0" fontId="0" fillId="4" borderId="10" xfId="0" applyNumberFormat="1" applyFont="1" applyFill="1" applyBorder="1" applyAlignment="1">
      <x:alignment vertical="center"/>
    </x:xf>
    <x:xf numFmtId="0" fontId="0" fillId="4" borderId="11" xfId="0" applyNumberFormat="1" applyFont="1" applyFill="1" applyBorder="1" applyAlignment="1">
      <x:alignment vertical="center"/>
    </x:xf>
    <x:xf numFmtId="0" fontId="0" fillId="4" borderId="12" xfId="0" applyNumberFormat="1" applyFont="1" applyFill="1" applyBorder="1" applyAlignment="1">
      <x:alignment vertical="center"/>
    </x:xf>
    <x:xf numFmtId="0" fontId="0" fillId="3" borderId="13" xfId="0" applyNumberFormat="1" applyFont="1" applyFill="1" applyBorder="1" applyAlignment="1">
      <x:alignment vertical="center"/>
    </x:xf>
    <x:xf numFmtId="0" fontId="0" fillId="3" borderId="14" xfId="0" applyNumberFormat="1" applyFont="1" applyFill="1" applyBorder="1" applyAlignment="1">
      <x:alignment vertical="center"/>
    </x:xf>
    <x:xf numFmtId="0" fontId="0" fillId="3" borderId="15" xfId="0" applyNumberFormat="1" applyFont="1" applyFill="1" applyBorder="1" applyAlignment="1">
      <x:alignment vertical="center"/>
    </x:xf>
    <x:xf numFmtId="0" fontId="0" fillId="4" borderId="16" xfId="0" applyNumberFormat="1" applyFont="1" applyFill="1" applyBorder="1" applyAlignment="1">
      <x:alignment vertical="center"/>
    </x:xf>
    <x:xf numFmtId="0" fontId="0" fillId="4" borderId="14" xfId="0" applyNumberFormat="1" applyFont="1" applyFill="1" applyBorder="1" applyAlignment="1">
      <x:alignment vertical="center"/>
    </x:xf>
    <x:xf numFmtId="0" fontId="0" fillId="4" borderId="17" xfId="0" applyNumberFormat="1" applyFont="1" applyFill="1" applyBorder="1" applyAlignment="1">
      <x:alignment vertical="center"/>
    </x:xf>
    <x:xf numFmtId="0" fontId="0" fillId="3" borderId="18" xfId="0" applyNumberFormat="1" applyFont="1" applyFill="1" applyBorder="1" applyAlignment="1">
      <x:alignment vertical="center"/>
    </x:xf>
    <x:xf numFmtId="0" fontId="0" fillId="4" borderId="19" xfId="0" applyNumberFormat="1" applyFont="1" applyFill="1" applyBorder="1" applyAlignment="1">
      <x:alignment vertical="center"/>
    </x:xf>
    <x:xf numFmtId="0" fontId="0" fillId="3" borderId="20" xfId="0" applyNumberFormat="1" applyFont="1" applyFill="1" applyBorder="1" applyAlignment="1">
      <x:alignment vertical="center"/>
    </x:xf>
    <x:xf numFmtId="0" fontId="0" fillId="3" borderId="21" xfId="0" applyNumberFormat="1" applyFont="1" applyFill="1" applyBorder="1" applyAlignment="1">
      <x:alignment vertical="center"/>
    </x:xf>
    <x:xf numFmtId="0" fontId="0" fillId="3" borderId="22" xfId="0" applyNumberFormat="1" applyFont="1" applyFill="1" applyBorder="1" applyAlignment="1">
      <x:alignment vertical="center"/>
    </x:xf>
    <x:xf numFmtId="0" fontId="0" fillId="4" borderId="23" xfId="0" applyNumberFormat="1" applyFont="1" applyFill="1" applyBorder="1" applyAlignment="1">
      <x:alignment vertical="center"/>
    </x:xf>
    <x:xf numFmtId="0" fontId="0" fillId="4" borderId="21" xfId="0" applyNumberFormat="1" applyFont="1" applyFill="1" applyBorder="1" applyAlignment="1">
      <x:alignment vertical="center"/>
    </x:xf>
    <x:xf numFmtId="0" fontId="0" fillId="4" borderId="24" xfId="0" applyNumberFormat="1" applyFont="1" applyFill="1" applyBorder="1" applyAlignment="1">
      <x:alignment vertical="center"/>
    </x:xf>
    <x:xf numFmtId="200" fontId="0" fillId="3" borderId="13" xfId="0" applyNumberFormat="1" applyFont="1" applyFill="1" applyBorder="1" applyAlignment="1">
      <x:alignment vertical="center"/>
    </x:xf>
    <x:xf numFmtId="200" fontId="0" fillId="3" borderId="18" xfId="0" applyNumberFormat="1" applyFont="1" applyFill="1" applyBorder="1" applyAlignment="1">
      <x:alignment vertical="center"/>
    </x:xf>
    <x:xf numFmtId="200" fontId="0" fillId="3" borderId="20" xfId="0" applyNumberFormat="1" applyFont="1" applyFill="1" applyBorder="1" applyAlignment="1">
      <x:alignment vertical="center"/>
    </x:xf>
    <x:xf numFmtId="201" fontId="0" fillId="3" borderId="14" xfId="0" applyNumberFormat="1" applyFont="1" applyFill="1" applyBorder="1" applyAlignment="1">
      <x:alignment vertical="center"/>
    </x:xf>
    <x:xf numFmtId="201" fontId="0" fillId="3" borderId="8" xfId="0" applyNumberFormat="1" applyFont="1" applyFill="1" applyBorder="1" applyAlignment="1">
      <x:alignment vertical="center"/>
    </x:xf>
    <x:xf numFmtId="201" fontId="0" fillId="3" borderId="21" xfId="0" applyNumberFormat="1" applyFont="1" applyFill="1" applyBorder="1" applyAlignment="1">
      <x:alignment vertical="center"/>
    </x:xf>
    <x:xf numFmtId="202" fontId="0" fillId="3" borderId="14" xfId="0" applyNumberFormat="1" applyFont="1" applyFill="1" applyBorder="1" applyAlignment="1">
      <x:alignment vertical="center"/>
    </x:xf>
    <x:xf numFmtId="202" fontId="0" fillId="3" borderId="8" xfId="0" applyNumberFormat="1" applyFont="1" applyFill="1" applyBorder="1" applyAlignment="1">
      <x:alignment vertical="center"/>
    </x:xf>
    <x:xf numFmtId="202" fontId="0" fillId="3" borderId="21" xfId="0" applyNumberFormat="1" applyFont="1" applyFill="1" applyBorder="1" applyAlignment="1">
      <x:alignment vertical="center"/>
    </x:xf>
    <x:xf numFmtId="203" fontId="0" fillId="3" borderId="14" xfId="0" applyNumberFormat="1" applyFont="1" applyFill="1" applyBorder="1" applyAlignment="1">
      <x:alignment vertical="center"/>
    </x:xf>
    <x:xf numFmtId="203" fontId="0" fillId="3" borderId="15" xfId="0" applyNumberFormat="1" applyFont="1" applyFill="1" applyBorder="1" applyAlignment="1">
      <x:alignment vertical="center"/>
    </x:xf>
    <x:xf numFmtId="203" fontId="0" fillId="4" borderId="16" xfId="0" applyNumberFormat="1" applyFont="1" applyFill="1" applyBorder="1" applyAlignment="1">
      <x:alignment vertical="center"/>
    </x:xf>
    <x:xf numFmtId="203" fontId="0" fillId="4" borderId="14" xfId="0" applyNumberFormat="1" applyFont="1" applyFill="1" applyBorder="1" applyAlignment="1">
      <x:alignment vertical="center"/>
    </x:xf>
    <x:xf numFmtId="203" fontId="0" fillId="3" borderId="8" xfId="0" applyNumberFormat="1" applyFont="1" applyFill="1" applyBorder="1" applyAlignment="1">
      <x:alignment vertical="center"/>
    </x:xf>
    <x:xf numFmtId="203" fontId="0" fillId="3" borderId="9" xfId="0" applyNumberFormat="1" applyFont="1" applyFill="1" applyBorder="1" applyAlignment="1">
      <x:alignment vertical="center"/>
    </x:xf>
    <x:xf numFmtId="203" fontId="0" fillId="4" borderId="7" xfId="0" applyNumberFormat="1" applyFont="1" applyFill="1" applyBorder="1" applyAlignment="1">
      <x:alignment vertical="center"/>
    </x:xf>
    <x:xf numFmtId="203" fontId="0" fillId="4" borderId="8" xfId="0" applyNumberFormat="1" applyFont="1" applyFill="1" applyBorder="1" applyAlignment="1">
      <x:alignment vertical="center"/>
    </x:xf>
    <x:xf numFmtId="203" fontId="0" fillId="3" borderId="21" xfId="0" applyNumberFormat="1" applyFont="1" applyFill="1" applyBorder="1" applyAlignment="1">
      <x:alignment vertical="center"/>
    </x:xf>
    <x:xf numFmtId="203" fontId="0" fillId="3" borderId="22" xfId="0" applyNumberFormat="1" applyFont="1" applyFill="1" applyBorder="1" applyAlignment="1">
      <x:alignment vertical="center"/>
    </x:xf>
    <x:xf numFmtId="203" fontId="0" fillId="4" borderId="23" xfId="0" applyNumberFormat="1" applyFont="1" applyFill="1" applyBorder="1" applyAlignment="1">
      <x:alignment vertical="center"/>
    </x:xf>
    <x:xf numFmtId="203" fontId="0" fillId="4" borderId="21" xfId="0" applyNumberFormat="1" applyFont="1" applyFill="1" applyBorder="1" applyAlignment="1">
      <x:alignment vertical="center"/>
    </x:xf>
    <x:xf numFmtId="0" fontId="2" fillId="3" borderId="14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21" xfId="0" applyNumberFormat="1" applyFont="1" applyFill="1" applyBorder="1" applyAlignment="1">
      <x:alignment vertical="center"/>
    </x:xf>
    <x:xf numFmtId="0" fontId="0" fillId="4" borderId="14" xfId="0" applyNumberFormat="1" applyFont="1" applyFill="1" applyBorder="1" applyAlignment="1">
      <x:alignment horizontal="center" vertical="center"/>
    </x:xf>
    <x:xf numFmtId="203" fontId="0" fillId="4" borderId="14" xfId="0" applyNumberFormat="1" applyFont="1" applyFill="1" applyBorder="1" applyAlignment="1">
      <x:alignment horizontal="center" vertical="center"/>
    </x:xf>
    <x:xf numFmtId="0" fontId="0" fillId="4" borderId="17" xfId="0" applyNumberFormat="1" applyFont="1" applyFill="1" applyBorder="1" applyAlignment="1">
      <x:alignment horizontal="center" vertical="center"/>
    </x:xf>
    <x:xf numFmtId="0" fontId="0" fillId="4" borderId="8" xfId="0" applyNumberFormat="1" applyFont="1" applyFill="1" applyBorder="1" applyAlignment="1">
      <x:alignment horizontal="center" vertical="center"/>
    </x:xf>
    <x:xf numFmtId="203" fontId="0" fillId="4" borderId="8" xfId="0" applyNumberFormat="1" applyFont="1" applyFill="1" applyBorder="1" applyAlignment="1">
      <x:alignment horizontal="center" vertical="center"/>
    </x:xf>
    <x:xf numFmtId="0" fontId="0" fillId="4" borderId="19" xfId="0" applyNumberFormat="1" applyFont="1" applyFill="1" applyBorder="1" applyAlignment="1">
      <x:alignment horizontal="center" vertical="center"/>
    </x:xf>
    <x:xf numFmtId="0" fontId="0" fillId="4" borderId="21" xfId="0" applyNumberFormat="1" applyFont="1" applyFill="1" applyBorder="1" applyAlignment="1">
      <x:alignment horizontal="center" vertical="center"/>
    </x:xf>
    <x:xf numFmtId="203" fontId="0" fillId="4" borderId="21" xfId="0" applyNumberFormat="1" applyFont="1" applyFill="1" applyBorder="1" applyAlignment="1">
      <x:alignment horizontal="center" vertical="center"/>
    </x:xf>
    <x:xf numFmtId="0" fontId="0" fillId="4" borderId="2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25" xfId="0" applyNumberFormat="1" applyFont="1" applyFill="1" applyBorder="1" applyAlignment="1">
      <x:alignment horizontal="center" vertical="center" wrapText="1"/>
    </x:xf>
    <x:xf numFmtId="0" fontId="0" fillId="0" borderId="25" xfId="0" applyNumberFormat="1" applyFont="1" applyFill="1" applyBorder="1"/>
    <x:xf numFmtId="0" fontId="0" fillId="0" borderId="25" xfId="0" applyNumberFormat="1" applyFont="1" applyFill="1" applyBorder="1" applyAlignment="1">
      <x:alignment vertical="center"/>
    </x:xf>
    <x:xf numFmtId="0" fontId="4" fillId="0" borderId="25" xfId="0" applyNumberFormat="1" applyFont="1" applyFill="1" applyBorder="1" applyAlignment="1">
      <x:alignment vertical="center"/>
    </x:xf>
    <x:xf numFmtId="0" fontId="4" fillId="0" borderId="25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6" xfId="0" applyNumberFormat="1" applyFont="1" applyFill="1" applyBorder="1"/>
    <x:xf numFmtId="0" fontId="5" fillId="6" borderId="27" xfId="0" applyNumberFormat="1" applyFont="1" applyFill="1" applyBorder="1"/>
    <x:xf numFmtId="0" fontId="5" fillId="6" borderId="28" xfId="0" applyNumberFormat="1" applyFont="1" applyFill="1" applyBorder="1"/>
    <x:xf numFmtId="0" fontId="5" fillId="6" borderId="26" xfId="0" applyNumberFormat="1" applyFont="1" applyFill="1" applyBorder="1" applyAlignment="1">
      <x:alignment wrapText="1"/>
    </x:xf>
    <x:xf numFmtId="0" fontId="5" fillId="6" borderId="27" xfId="0" applyNumberFormat="1" applyFont="1" applyFill="1" applyBorder="1" applyAlignment="1">
      <x:alignment wrapText="1"/>
    </x:xf>
    <x:xf numFmtId="0" fontId="5" fillId="6" borderId="28" xfId="0" applyNumberFormat="1" applyFont="1" applyFill="1" applyBorder="1" applyAlignment="1">
      <x:alignment wrapText="1"/>
    </x:xf>
    <x:xf numFmtId="0" fontId="5" fillId="6" borderId="26" xfId="0" applyNumberFormat="1" applyFont="1" applyFill="1" applyBorder="1" applyAlignment="1">
      <x:alignment vertical="center" wrapText="1"/>
    </x:xf>
    <x:xf numFmtId="0" fontId="5" fillId="6" borderId="27" xfId="0" applyNumberFormat="1" applyFont="1" applyFill="1" applyBorder="1" applyAlignment="1">
      <x:alignment vertical="center" wrapText="1"/>
    </x:xf>
    <x:xf numFmtId="0" fontId="5" fillId="6" borderId="2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DE2E1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2318"/>
      </x:font>
      <x:fill>
        <x:patternFill patternType="solid">
          <x:bgColor rgb="FFFDE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f24364250b4461" /><Relationship Type="http://schemas.openxmlformats.org/officeDocument/2006/relationships/theme" Target="/xl/theme/theme1.xml" Id="R74bb29c65a6a472c" /><Relationship Type="http://schemas.openxmlformats.org/officeDocument/2006/relationships/sharedStrings" Target="/xl/sharedStrings.xml" Id="Rf6c08880ba64461f" /><Relationship Type="http://schemas.openxmlformats.org/officeDocument/2006/relationships/worksheet" Target="/xl/worksheets/sheet1.xml" Id="R8dee2aa9c5e4401d" /><Relationship Type="http://schemas.openxmlformats.org/officeDocument/2006/relationships/worksheet" Target="/xl/worksheets/sheet2.xml" Id="Rc3717dea628f45ae" /></Relationships>
</file>

<file path=xl/tables/table1.xml><?xml version="1.0" encoding="utf-8"?>
<x:table xmlns:x="http://schemas.openxmlformats.org/spreadsheetml/2006/main" id="1" name="GoalTaskProgressSource" displayName="GoalTaskProgressSource" ref="A1:S21" headerRowCount="1" totalsRowCount="0" totalsRowShown="0">
  <x:tableColumns count="19">
    <x:tableColumn id="1" name="统计月份"/>
    <x:tableColumn id="2" name="员工"/>
    <x:tableColumn id="3" name="GMV实际(欧元)"/>
    <x:tableColumn id="4" name="GMV目标(欧元)"/>
    <x:tableColumn id="5" name="销量实际(件)"/>
    <x:tableColumn id="6" name="销量目标(件)"/>
    <x:tableColumn id="7" name="毛利(欧元)"/>
    <x:tableColumn id="8" name="周转天数(实际)"/>
    <x:tableColumn id="9" name="周转天数目标"/>
    <x:tableColumn id="10" name="GMV权重"/>
    <x:tableColumn id="11" name="销量权重"/>
    <x:tableColumn id="12" name="周转天数权重"/>
    <x:tableColumn id="13" name="GMV完成率"/>
    <x:tableColumn id="14" name="销量完成率"/>
    <x:tableColumn id="15" name="周转完成率"/>
    <x:tableColumn id="16" name="综合评分"/>
    <x:tableColumn id="17" name="状态"/>
    <x:tableColumn id="18" name="权重合计"/>
    <x:tableColumn id="19" name="权重校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b4b20d553349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  <x:col min="9" max="9" width="15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2" hidden="0" customWidth="1"/>
    <x:col min="18" max="18" width="12" hidden="0" customWidth="1"/>
    <x:col min="19" max="19" width="12" hidden="0" customWidth="1"/>
  </x:cols>
  <x:sheetData>
    <x:row r="1" ht="34" customHeight="1">
      <x:c r="A1" s="12" t="str">
        <x:v>统计月份</x:v>
      </x:c>
      <x:c r="B1" s="13" t="str">
        <x:v>员工</x:v>
      </x:c>
      <x:c r="C1" s="13" t="str">
        <x:v>GMV实际(欧元)</x:v>
      </x:c>
      <x:c r="D1" s="13" t="str">
        <x:v>GMV目标(欧元)</x:v>
      </x:c>
      <x:c r="E1" s="13" t="str">
        <x:v>销量实际(件)</x:v>
      </x:c>
      <x:c r="F1" s="13" t="str">
        <x:v>销量目标(件)</x:v>
      </x:c>
      <x:c r="G1" s="13" t="str">
        <x:v>毛利(欧元)</x:v>
      </x:c>
      <x:c r="H1" s="13" t="str">
        <x:v>周转天数(实际)</x:v>
      </x:c>
      <x:c r="I1" s="13" t="str">
        <x:v>周转天数目标</x:v>
      </x:c>
      <x:c r="J1" s="13" t="str">
        <x:v>GMV权重</x:v>
      </x:c>
      <x:c r="K1" s="13" t="str">
        <x:v>销量权重</x:v>
      </x:c>
      <x:c r="L1" s="13" t="str">
        <x:v>周转天数权重</x:v>
      </x:c>
      <x:c r="M1" s="13" t="str">
        <x:v>GMV完成率</x:v>
      </x:c>
      <x:c r="N1" s="13" t="str">
        <x:v>销量完成率</x:v>
      </x:c>
      <x:c r="O1" s="13" t="str">
        <x:v>周转完成率</x:v>
      </x:c>
      <x:c r="P1" s="13" t="str">
        <x:v>综合评分</x:v>
      </x:c>
      <x:c r="Q1" s="13" t="str">
        <x:v>状态</x:v>
      </x:c>
      <x:c r="R1" s="13" t="str">
        <x:v>权重合计</x:v>
      </x:c>
      <x:c r="S1" s="14" t="str">
        <x:v>权重校验</x:v>
      </x:c>
    </x:row>
    <x:row r="2" ht="21" customHeight="1">
      <x:c r="A2" s="67" t="n">
        <x:v>46113</x:v>
      </x:c>
      <x:c r="B2" s="88" t="str">
        <x:v>王雨晨</x:v>
      </x:c>
      <x:c r="C2" s="70" t="n">
        <x:v>524000</x:v>
      </x:c>
      <x:c r="D2" s="70" t="n">
        <x:v>1000000</x:v>
      </x:c>
      <x:c r="E2" s="73" t="n">
        <x:v>1080</x:v>
      </x:c>
      <x:c r="F2" s="73" t="n">
        <x:v>2000</x:v>
      </x:c>
      <x:c r="G2" s="70" t="n">
        <x:v>86460</x:v>
      </x:c>
      <x:c r="H2" s="73" t="n">
        <x:v>338</x:v>
      </x:c>
      <x:c r="I2" s="73" t="n">
        <x:v>365</x:v>
      </x:c>
      <x:c r="J2" s="76" t="n">
        <x:v>0.3</x:v>
      </x:c>
      <x:c r="K2" s="76" t="n">
        <x:v>0.55</x:v>
      </x:c>
      <x:c r="L2" s="77" t="n">
        <x:v>0.15</x:v>
      </x:c>
      <x:c r="M2" s="78" t="n">
        <x:f>IFERROR(C2/D2,0)</x:f>
        <x:v>0.524</x:v>
      </x:c>
      <x:c r="N2" s="79" t="n">
        <x:f>IFERROR(E2/F2,0)</x:f>
        <x:v>0.54</x:v>
      </x:c>
      <x:c r="O2" s="79" t="n">
        <x:f>IFERROR(I2/H2,0)</x:f>
        <x:v>1.0798816568047338</x:v>
      </x:c>
      <x:c r="P2" s="79" t="n">
        <x:f>MIN(M2,1)*J2+MIN(N2,1)*K2+MIN(O2,1)*L2</x:f>
        <x:v>0.6042000000000001</x:v>
      </x:c>
      <x:c r="Q2" s="91" t="str">
        <x:f>IF(P2&gt;=0.9,"达标",IF(P2&gt;=0.7,"推进中","需关注"))</x:f>
        <x:v>需关注</x:v>
      </x:c>
      <x:c r="R2" s="92" t="n">
        <x:f>SUM(J2:L2)</x:f>
        <x:v>1</x:v>
      </x:c>
      <x:c r="S2" s="93" t="str">
        <x:f>IF(ABS(R2-1)&lt;0.0001,"通过","需调整")</x:f>
        <x:v>通过</x:v>
      </x:c>
    </x:row>
    <x:row r="3" ht="21" customHeight="1">
      <x:c r="A3" s="68" t="n">
        <x:v>46113</x:v>
      </x:c>
      <x:c r="B3" s="89" t="str">
        <x:v>陈慧慧</x:v>
      </x:c>
      <x:c r="C3" s="71" t="n">
        <x:v>188000</x:v>
      </x:c>
      <x:c r="D3" s="71" t="n">
        <x:v>500000</x:v>
      </x:c>
      <x:c r="E3" s="74" t="n">
        <x:v>420</x:v>
      </x:c>
      <x:c r="F3" s="74" t="n">
        <x:v>1000</x:v>
      </x:c>
      <x:c r="G3" s="71" t="n">
        <x:v>26696</x:v>
      </x:c>
      <x:c r="H3" s="74" t="n">
        <x:v>492</x:v>
      </x:c>
      <x:c r="I3" s="74" t="n">
        <x:v>450</x:v>
      </x:c>
      <x:c r="J3" s="80" t="n">
        <x:v>0.3</x:v>
      </x:c>
      <x:c r="K3" s="80" t="n">
        <x:v>0.55</x:v>
      </x:c>
      <x:c r="L3" s="81" t="n">
        <x:v>0.15</x:v>
      </x:c>
      <x:c r="M3" s="82" t="n">
        <x:f>IFERROR(C3/D3,0)</x:f>
        <x:v>0.376</x:v>
      </x:c>
      <x:c r="N3" s="83" t="n">
        <x:f>IFERROR(E3/F3,0)</x:f>
        <x:v>0.42</x:v>
      </x:c>
      <x:c r="O3" s="83" t="n">
        <x:f>IFERROR(I3/H3,0)</x:f>
        <x:v>0.9146341463414634</x:v>
      </x:c>
      <x:c r="P3" s="83" t="n">
        <x:f>MIN(M3,1)*J3+MIN(N3,1)*K3+MIN(O3,1)*L3</x:f>
        <x:v>0.4809951219512195</x:v>
      </x:c>
      <x:c r="Q3" s="94" t="str">
        <x:f>IF(P3&gt;=0.9,"达标",IF(P3&gt;=0.7,"推进中","需关注"))</x:f>
        <x:v>需关注</x:v>
      </x:c>
      <x:c r="R3" s="95" t="n">
        <x:f>SUM(J3:L3)</x:f>
        <x:v>1</x:v>
      </x:c>
      <x:c r="S3" s="96" t="str">
        <x:f>IF(ABS(R3-1)&lt;0.0001,"通过","需调整")</x:f>
        <x:v>通过</x:v>
      </x:c>
    </x:row>
    <x:row r="4" ht="21" customHeight="1">
      <x:c r="A4" s="68" t="n">
        <x:v>46113</x:v>
      </x:c>
      <x:c r="B4" s="89" t="str">
        <x:v>林晓峰</x:v>
      </x:c>
      <x:c r="C4" s="71" t="n">
        <x:v>488000</x:v>
      </x:c>
      <x:c r="D4" s="71" t="n">
        <x:v>750000</x:v>
      </x:c>
      <x:c r="E4" s="74" t="n">
        <x:v>960</x:v>
      </x:c>
      <x:c r="F4" s="74" t="n">
        <x:v>1500</x:v>
      </x:c>
      <x:c r="G4" s="71" t="n">
        <x:v>77104</x:v>
      </x:c>
      <x:c r="H4" s="74" t="n">
        <x:v>386</x:v>
      </x:c>
      <x:c r="I4" s="74" t="n">
        <x:v>400</x:v>
      </x:c>
      <x:c r="J4" s="80" t="n">
        <x:v>0.3</x:v>
      </x:c>
      <x:c r="K4" s="80" t="n">
        <x:v>0.55</x:v>
      </x:c>
      <x:c r="L4" s="81" t="n">
        <x:v>0.15</x:v>
      </x:c>
      <x:c r="M4" s="82" t="n">
        <x:f>IFERROR(C4/D4,0)</x:f>
        <x:v>0.6506666666666666</x:v>
      </x:c>
      <x:c r="N4" s="83" t="n">
        <x:f>IFERROR(E4/F4,0)</x:f>
        <x:v>0.64</x:v>
      </x:c>
      <x:c r="O4" s="83" t="n">
        <x:f>IFERROR(I4/H4,0)</x:f>
        <x:v>1.0362694300518134</x:v>
      </x:c>
      <x:c r="P4" s="83" t="n">
        <x:f>MIN(M4,1)*J4+MIN(N4,1)*K4+MIN(O4,1)*L4</x:f>
        <x:v>0.6972</x:v>
      </x:c>
      <x:c r="Q4" s="94" t="str">
        <x:f>IF(P4&gt;=0.9,"达标",IF(P4&gt;=0.7,"推进中","需关注"))</x:f>
        <x:v>需关注</x:v>
      </x:c>
      <x:c r="R4" s="95" t="n">
        <x:f>SUM(J4:L4)</x:f>
        <x:v>1</x:v>
      </x:c>
      <x:c r="S4" s="96" t="str">
        <x:f>IF(ABS(R4-1)&lt;0.0001,"通过","需调整")</x:f>
        <x:v>通过</x:v>
      </x:c>
    </x:row>
    <x:row r="5" ht="21" customHeight="1">
      <x:c r="A5" s="68" t="n">
        <x:v>46113</x:v>
      </x:c>
      <x:c r="B5" s="89" t="str">
        <x:v>赵一鸣</x:v>
      </x:c>
      <x:c r="C5" s="71" t="n">
        <x:v>352000</x:v>
      </x:c>
      <x:c r="D5" s="71" t="n">
        <x:v>600000</x:v>
      </x:c>
      <x:c r="E5" s="74" t="n">
        <x:v>700</x:v>
      </x:c>
      <x:c r="F5" s="74" t="n">
        <x:v>1200</x:v>
      </x:c>
      <x:c r="G5" s="71" t="n">
        <x:v>53152</x:v>
      </x:c>
      <x:c r="H5" s="74" t="n">
        <x:v>410</x:v>
      </x:c>
      <x:c r="I5" s="74" t="n">
        <x:v>380</x:v>
      </x:c>
      <x:c r="J5" s="80" t="n">
        <x:v>0.3</x:v>
      </x:c>
      <x:c r="K5" s="80" t="n">
        <x:v>0.55</x:v>
      </x:c>
      <x:c r="L5" s="81" t="n">
        <x:v>0.15</x:v>
      </x:c>
      <x:c r="M5" s="82" t="n">
        <x:f>IFERROR(C5/D5,0)</x:f>
        <x:v>0.5866666666666667</x:v>
      </x:c>
      <x:c r="N5" s="83" t="n">
        <x:f>IFERROR(E5/F5,0)</x:f>
        <x:v>0.5833333333333334</x:v>
      </x:c>
      <x:c r="O5" s="83" t="n">
        <x:f>IFERROR(I5/H5,0)</x:f>
        <x:v>0.926829268292683</x:v>
      </x:c>
      <x:c r="P5" s="83" t="n">
        <x:f>MIN(M5,1)*J5+MIN(N5,1)*K5+MIN(O5,1)*L5</x:f>
        <x:v>0.6358577235772358</x:v>
      </x:c>
      <x:c r="Q5" s="94" t="str">
        <x:f>IF(P5&gt;=0.9,"达标",IF(P5&gt;=0.7,"推进中","需关注"))</x:f>
        <x:v>需关注</x:v>
      </x:c>
      <x:c r="R5" s="95" t="n">
        <x:f>SUM(J5:L5)</x:f>
        <x:v>1</x:v>
      </x:c>
      <x:c r="S5" s="96" t="str">
        <x:f>IF(ABS(R5-1)&lt;0.0001,"通过","需调整")</x:f>
        <x:v>通过</x:v>
      </x:c>
    </x:row>
    <x:row r="6" ht="21" customHeight="1">
      <x:c r="A6" s="68" t="n">
        <x:v>46143</x:v>
      </x:c>
      <x:c r="B6" s="89" t="str">
        <x:v>王雨晨</x:v>
      </x:c>
      <x:c r="C6" s="71" t="n">
        <x:v>658400</x:v>
      </x:c>
      <x:c r="D6" s="71" t="n">
        <x:v>1000000</x:v>
      </x:c>
      <x:c r="E6" s="74" t="n">
        <x:v>1240</x:v>
      </x:c>
      <x:c r="F6" s="74" t="n">
        <x:v>2000</x:v>
      </x:c>
      <x:c r="G6" s="71" t="n">
        <x:v>108636</x:v>
      </x:c>
      <x:c r="H6" s="74" t="n">
        <x:v>326</x:v>
      </x:c>
      <x:c r="I6" s="74" t="n">
        <x:v>365</x:v>
      </x:c>
      <x:c r="J6" s="80" t="n">
        <x:v>0.3</x:v>
      </x:c>
      <x:c r="K6" s="80" t="n">
        <x:v>0.55</x:v>
      </x:c>
      <x:c r="L6" s="81" t="n">
        <x:v>0.15</x:v>
      </x:c>
      <x:c r="M6" s="82" t="n">
        <x:f>IFERROR(C6/D6,0)</x:f>
        <x:v>0.6584</x:v>
      </x:c>
      <x:c r="N6" s="83" t="n">
        <x:f>IFERROR(E6/F6,0)</x:f>
        <x:v>0.62</x:v>
      </x:c>
      <x:c r="O6" s="83" t="n">
        <x:f>IFERROR(I6/H6,0)</x:f>
        <x:v>1.1196319018404908</x:v>
      </x:c>
      <x:c r="P6" s="83" t="n">
        <x:f>MIN(M6,1)*J6+MIN(N6,1)*K6+MIN(O6,1)*L6</x:f>
        <x:v>0.68852</x:v>
      </x:c>
      <x:c r="Q6" s="94" t="str">
        <x:f>IF(P6&gt;=0.9,"达标",IF(P6&gt;=0.7,"推进中","需关注"))</x:f>
        <x:v>需关注</x:v>
      </x:c>
      <x:c r="R6" s="95" t="n">
        <x:f>SUM(J6:L6)</x:f>
        <x:v>1</x:v>
      </x:c>
      <x:c r="S6" s="96" t="str">
        <x:f>IF(ABS(R6-1)&lt;0.0001,"通过","需调整")</x:f>
        <x:v>通过</x:v>
      </x:c>
    </x:row>
    <x:row r="7" ht="21" customHeight="1">
      <x:c r="A7" s="68" t="n">
        <x:v>46143</x:v>
      </x:c>
      <x:c r="B7" s="89" t="str">
        <x:v>陈慧慧</x:v>
      </x:c>
      <x:c r="C7" s="71" t="n">
        <x:v>251000</x:v>
      </x:c>
      <x:c r="D7" s="71" t="n">
        <x:v>500000</x:v>
      </x:c>
      <x:c r="E7" s="74" t="n">
        <x:v>510</x:v>
      </x:c>
      <x:c r="F7" s="74" t="n">
        <x:v>1000</x:v>
      </x:c>
      <x:c r="G7" s="71" t="n">
        <x:v>35642</x:v>
      </x:c>
      <x:c r="H7" s="74" t="n">
        <x:v>475</x:v>
      </x:c>
      <x:c r="I7" s="74" t="n">
        <x:v>450</x:v>
      </x:c>
      <x:c r="J7" s="80" t="n">
        <x:v>0.3</x:v>
      </x:c>
      <x:c r="K7" s="80" t="n">
        <x:v>0.55</x:v>
      </x:c>
      <x:c r="L7" s="81" t="n">
        <x:v>0.15</x:v>
      </x:c>
      <x:c r="M7" s="82" t="n">
        <x:f>IFERROR(C7/D7,0)</x:f>
        <x:v>0.502</x:v>
      </x:c>
      <x:c r="N7" s="83" t="n">
        <x:f>IFERROR(E7/F7,0)</x:f>
        <x:v>0.51</x:v>
      </x:c>
      <x:c r="O7" s="83" t="n">
        <x:f>IFERROR(I7/H7,0)</x:f>
        <x:v>0.9473684210526315</x:v>
      </x:c>
      <x:c r="P7" s="83" t="n">
        <x:f>MIN(M7,1)*J7+MIN(N7,1)*K7+MIN(O7,1)*L7</x:f>
        <x:v>0.5732052631578948</x:v>
      </x:c>
      <x:c r="Q7" s="94" t="str">
        <x:f>IF(P7&gt;=0.9,"达标",IF(P7&gt;=0.7,"推进中","需关注"))</x:f>
        <x:v>需关注</x:v>
      </x:c>
      <x:c r="R7" s="95" t="n">
        <x:f>SUM(J7:L7)</x:f>
        <x:v>1</x:v>
      </x:c>
      <x:c r="S7" s="96" t="str">
        <x:f>IF(ABS(R7-1)&lt;0.0001,"通过","需调整")</x:f>
        <x:v>通过</x:v>
      </x:c>
    </x:row>
    <x:row r="8" ht="21" customHeight="1">
      <x:c r="A8" s="68" t="n">
        <x:v>46143</x:v>
      </x:c>
      <x:c r="B8" s="89" t="str">
        <x:v>林晓峰</x:v>
      </x:c>
      <x:c r="C8" s="71" t="n">
        <x:v>542000</x:v>
      </x:c>
      <x:c r="D8" s="71" t="n">
        <x:v>750000</x:v>
      </x:c>
      <x:c r="E8" s="74" t="n">
        <x:v>1050</x:v>
      </x:c>
      <x:c r="F8" s="74" t="n">
        <x:v>1500</x:v>
      </x:c>
      <x:c r="G8" s="71" t="n">
        <x:v>85636</x:v>
      </x:c>
      <x:c r="H8" s="74" t="n">
        <x:v>378</x:v>
      </x:c>
      <x:c r="I8" s="74" t="n">
        <x:v>400</x:v>
      </x:c>
      <x:c r="J8" s="80" t="n">
        <x:v>0.3</x:v>
      </x:c>
      <x:c r="K8" s="80" t="n">
        <x:v>0.55</x:v>
      </x:c>
      <x:c r="L8" s="81" t="n">
        <x:v>0.15</x:v>
      </x:c>
      <x:c r="M8" s="82" t="n">
        <x:f>IFERROR(C8/D8,0)</x:f>
        <x:v>0.7226666666666667</x:v>
      </x:c>
      <x:c r="N8" s="83" t="n">
        <x:f>IFERROR(E8/F8,0)</x:f>
        <x:v>0.7</x:v>
      </x:c>
      <x:c r="O8" s="83" t="n">
        <x:f>IFERROR(I8/H8,0)</x:f>
        <x:v>1.0582010582010581</x:v>
      </x:c>
      <x:c r="P8" s="83" t="n">
        <x:f>MIN(M8,1)*J8+MIN(N8,1)*K8+MIN(O8,1)*L8</x:f>
        <x:v>0.7518</x:v>
      </x:c>
      <x:c r="Q8" s="94" t="str">
        <x:f>IF(P8&gt;=0.9,"达标",IF(P8&gt;=0.7,"推进中","需关注"))</x:f>
        <x:v>推进中</x:v>
      </x:c>
      <x:c r="R8" s="95" t="n">
        <x:f>SUM(J8:L8)</x:f>
        <x:v>1</x:v>
      </x:c>
      <x:c r="S8" s="96" t="str">
        <x:f>IF(ABS(R8-1)&lt;0.0001,"通过","需调整")</x:f>
        <x:v>通过</x:v>
      </x:c>
    </x:row>
    <x:row r="9" ht="21" customHeight="1">
      <x:c r="A9" s="68" t="n">
        <x:v>46143</x:v>
      </x:c>
      <x:c r="B9" s="89" t="str">
        <x:v>赵一鸣</x:v>
      </x:c>
      <x:c r="C9" s="71" t="n">
        <x:v>418000</x:v>
      </x:c>
      <x:c r="D9" s="71" t="n">
        <x:v>600000</x:v>
      </x:c>
      <x:c r="E9" s="74" t="n">
        <x:v>790</x:v>
      </x:c>
      <x:c r="F9" s="74" t="n">
        <x:v>1200</x:v>
      </x:c>
      <x:c r="G9" s="71" t="n">
        <x:v>63118</x:v>
      </x:c>
      <x:c r="H9" s="74" t="n">
        <x:v>396</x:v>
      </x:c>
      <x:c r="I9" s="74" t="n">
        <x:v>380</x:v>
      </x:c>
      <x:c r="J9" s="80" t="n">
        <x:v>0.3</x:v>
      </x:c>
      <x:c r="K9" s="80" t="n">
        <x:v>0.55</x:v>
      </x:c>
      <x:c r="L9" s="81" t="n">
        <x:v>0.15</x:v>
      </x:c>
      <x:c r="M9" s="82" t="n">
        <x:f>IFERROR(C9/D9,0)</x:f>
        <x:v>0.6966666666666667</x:v>
      </x:c>
      <x:c r="N9" s="83" t="n">
        <x:f>IFERROR(E9/F9,0)</x:f>
        <x:v>0.6583333333333333</x:v>
      </x:c>
      <x:c r="O9" s="83" t="n">
        <x:f>IFERROR(I9/H9,0)</x:f>
        <x:v>0.9595959595959596</x:v>
      </x:c>
      <x:c r="P9" s="83" t="n">
        <x:f>MIN(M9,1)*J9+MIN(N9,1)*K9+MIN(O9,1)*L9</x:f>
        <x:v>0.7150227272727273</x:v>
      </x:c>
      <x:c r="Q9" s="94" t="str">
        <x:f>IF(P9&gt;=0.9,"达标",IF(P9&gt;=0.7,"推进中","需关注"))</x:f>
        <x:v>推进中</x:v>
      </x:c>
      <x:c r="R9" s="95" t="n">
        <x:f>SUM(J9:L9)</x:f>
        <x:v>1</x:v>
      </x:c>
      <x:c r="S9" s="96" t="str">
        <x:f>IF(ABS(R9-1)&lt;0.0001,"通过","需调整")</x:f>
        <x:v>通过</x:v>
      </x:c>
    </x:row>
    <x:row r="10" ht="21" customHeight="1">
      <x:c r="A10" s="68" t="n">
        <x:v>46174</x:v>
      </x:c>
      <x:c r="B10" s="89" t="str">
        <x:v>王雨晨</x:v>
      </x:c>
      <x:c r="C10" s="71" t="n">
        <x:v>708800</x:v>
      </x:c>
      <x:c r="D10" s="71" t="n">
        <x:v>1000000</x:v>
      </x:c>
      <x:c r="E10" s="74" t="n">
        <x:v>1360</x:v>
      </x:c>
      <x:c r="F10" s="74" t="n">
        <x:v>2000</x:v>
      </x:c>
      <x:c r="G10" s="71" t="n">
        <x:v>116952</x:v>
      </x:c>
      <x:c r="H10" s="74" t="n">
        <x:v>314</x:v>
      </x:c>
      <x:c r="I10" s="74" t="n">
        <x:v>365</x:v>
      </x:c>
      <x:c r="J10" s="80" t="n">
        <x:v>0.3</x:v>
      </x:c>
      <x:c r="K10" s="80" t="n">
        <x:v>0.55</x:v>
      </x:c>
      <x:c r="L10" s="81" t="n">
        <x:v>0.15</x:v>
      </x:c>
      <x:c r="M10" s="82" t="n">
        <x:f>IFERROR(C10/D10,0)</x:f>
        <x:v>0.7088</x:v>
      </x:c>
      <x:c r="N10" s="83" t="n">
        <x:f>IFERROR(E10/F10,0)</x:f>
        <x:v>0.68</x:v>
      </x:c>
      <x:c r="O10" s="83" t="n">
        <x:f>IFERROR(I10/H10,0)</x:f>
        <x:v>1.1624203821656052</x:v>
      </x:c>
      <x:c r="P10" s="83" t="n">
        <x:f>MIN(M10,1)*J10+MIN(N10,1)*K10+MIN(O10,1)*L10</x:f>
        <x:v>0.7366400000000001</x:v>
      </x:c>
      <x:c r="Q10" s="94" t="str">
        <x:f>IF(P10&gt;=0.9,"达标",IF(P10&gt;=0.7,"推进中","需关注"))</x:f>
        <x:v>推进中</x:v>
      </x:c>
      <x:c r="R10" s="95" t="n">
        <x:f>SUM(J10:L10)</x:f>
        <x:v>1</x:v>
      </x:c>
      <x:c r="S10" s="96" t="str">
        <x:f>IF(ABS(R10-1)&lt;0.0001,"通过","需调整")</x:f>
        <x:v>通过</x:v>
      </x:c>
    </x:row>
    <x:row r="11" ht="21" customHeight="1">
      <x:c r="A11" s="68" t="n">
        <x:v>46174</x:v>
      </x:c>
      <x:c r="B11" s="89" t="str">
        <x:v>陈慧慧</x:v>
      </x:c>
      <x:c r="C11" s="71" t="n">
        <x:v>298000</x:v>
      </x:c>
      <x:c r="D11" s="71" t="n">
        <x:v>500000</x:v>
      </x:c>
      <x:c r="E11" s="74" t="n">
        <x:v>590</x:v>
      </x:c>
      <x:c r="F11" s="74" t="n">
        <x:v>1000</x:v>
      </x:c>
      <x:c r="G11" s="71" t="n">
        <x:v>42316</x:v>
      </x:c>
      <x:c r="H11" s="74" t="n">
        <x:v>463</x:v>
      </x:c>
      <x:c r="I11" s="74" t="n">
        <x:v>450</x:v>
      </x:c>
      <x:c r="J11" s="80" t="n">
        <x:v>0.3</x:v>
      </x:c>
      <x:c r="K11" s="80" t="n">
        <x:v>0.55</x:v>
      </x:c>
      <x:c r="L11" s="81" t="n">
        <x:v>0.15</x:v>
      </x:c>
      <x:c r="M11" s="82" t="n">
        <x:f>IFERROR(C11/D11,0)</x:f>
        <x:v>0.596</x:v>
      </x:c>
      <x:c r="N11" s="83" t="n">
        <x:f>IFERROR(E11/F11,0)</x:f>
        <x:v>0.59</x:v>
      </x:c>
      <x:c r="O11" s="83" t="n">
        <x:f>IFERROR(I11/H11,0)</x:f>
        <x:v>0.9719222462203023</x:v>
      </x:c>
      <x:c r="P11" s="83" t="n">
        <x:f>MIN(M11,1)*J11+MIN(N11,1)*K11+MIN(O11,1)*L11</x:f>
        <x:v>0.6490883369330454</x:v>
      </x:c>
      <x:c r="Q11" s="94" t="str">
        <x:f>IF(P11&gt;=0.9,"达标",IF(P11&gt;=0.7,"推进中","需关注"))</x:f>
        <x:v>需关注</x:v>
      </x:c>
      <x:c r="R11" s="95" t="n">
        <x:f>SUM(J11:L11)</x:f>
        <x:v>1</x:v>
      </x:c>
      <x:c r="S11" s="96" t="str">
        <x:f>IF(ABS(R11-1)&lt;0.0001,"通过","需调整")</x:f>
        <x:v>通过</x:v>
      </x:c>
    </x:row>
    <x:row r="12" ht="21" customHeight="1">
      <x:c r="A12" s="68" t="n">
        <x:v>46174</x:v>
      </x:c>
      <x:c r="B12" s="89" t="str">
        <x:v>林晓峰</x:v>
      </x:c>
      <x:c r="C12" s="71" t="n">
        <x:v>603000</x:v>
      </x:c>
      <x:c r="D12" s="71" t="n">
        <x:v>750000</x:v>
      </x:c>
      <x:c r="E12" s="74" t="n">
        <x:v>1170</x:v>
      </x:c>
      <x:c r="F12" s="74" t="n">
        <x:v>1500</x:v>
      </x:c>
      <x:c r="G12" s="71" t="n">
        <x:v>95274</x:v>
      </x:c>
      <x:c r="H12" s="74" t="n">
        <x:v>366</x:v>
      </x:c>
      <x:c r="I12" s="74" t="n">
        <x:v>400</x:v>
      </x:c>
      <x:c r="J12" s="80" t="n">
        <x:v>0.3</x:v>
      </x:c>
      <x:c r="K12" s="80" t="n">
        <x:v>0.55</x:v>
      </x:c>
      <x:c r="L12" s="81" t="n">
        <x:v>0.15</x:v>
      </x:c>
      <x:c r="M12" s="82" t="n">
        <x:f>IFERROR(C12/D12,0)</x:f>
        <x:v>0.804</x:v>
      </x:c>
      <x:c r="N12" s="83" t="n">
        <x:f>IFERROR(E12/F12,0)</x:f>
        <x:v>0.78</x:v>
      </x:c>
      <x:c r="O12" s="83" t="n">
        <x:f>IFERROR(I12/H12,0)</x:f>
        <x:v>1.092896174863388</x:v>
      </x:c>
      <x:c r="P12" s="83" t="n">
        <x:f>MIN(M12,1)*J12+MIN(N12,1)*K12+MIN(O12,1)*L12</x:f>
        <x:v>0.8202</x:v>
      </x:c>
      <x:c r="Q12" s="94" t="str">
        <x:f>IF(P12&gt;=0.9,"达标",IF(P12&gt;=0.7,"推进中","需关注"))</x:f>
        <x:v>推进中</x:v>
      </x:c>
      <x:c r="R12" s="95" t="n">
        <x:f>SUM(J12:L12)</x:f>
        <x:v>1</x:v>
      </x:c>
      <x:c r="S12" s="96" t="str">
        <x:f>IF(ABS(R12-1)&lt;0.0001,"通过","需调整")</x:f>
        <x:v>通过</x:v>
      </x:c>
    </x:row>
    <x:row r="13" ht="21" customHeight="1">
      <x:c r="A13" s="68" t="n">
        <x:v>46174</x:v>
      </x:c>
      <x:c r="B13" s="89" t="str">
        <x:v>赵一鸣</x:v>
      </x:c>
      <x:c r="C13" s="71" t="n">
        <x:v>472000</x:v>
      </x:c>
      <x:c r="D13" s="71" t="n">
        <x:v>600000</x:v>
      </x:c>
      <x:c r="E13" s="74" t="n">
        <x:v>880</x:v>
      </x:c>
      <x:c r="F13" s="74" t="n">
        <x:v>1200</x:v>
      </x:c>
      <x:c r="G13" s="71" t="n">
        <x:v>71272</x:v>
      </x:c>
      <x:c r="H13" s="74" t="n">
        <x:v>382</x:v>
      </x:c>
      <x:c r="I13" s="74" t="n">
        <x:v>380</x:v>
      </x:c>
      <x:c r="J13" s="80" t="n">
        <x:v>0.3</x:v>
      </x:c>
      <x:c r="K13" s="80" t="n">
        <x:v>0.55</x:v>
      </x:c>
      <x:c r="L13" s="81" t="n">
        <x:v>0.15</x:v>
      </x:c>
      <x:c r="M13" s="82" t="n">
        <x:f>IFERROR(C13/D13,0)</x:f>
        <x:v>0.7866666666666666</x:v>
      </x:c>
      <x:c r="N13" s="83" t="n">
        <x:f>IFERROR(E13/F13,0)</x:f>
        <x:v>0.7333333333333333</x:v>
      </x:c>
      <x:c r="O13" s="83" t="n">
        <x:f>IFERROR(I13/H13,0)</x:f>
        <x:v>0.9947643979057592</x:v>
      </x:c>
      <x:c r="P13" s="83" t="n">
        <x:f>MIN(M13,1)*J13+MIN(N13,1)*K13+MIN(O13,1)*L13</x:f>
        <x:v>0.7885479930191972</x:v>
      </x:c>
      <x:c r="Q13" s="94" t="str">
        <x:f>IF(P13&gt;=0.9,"达标",IF(P13&gt;=0.7,"推进中","需关注"))</x:f>
        <x:v>推进中</x:v>
      </x:c>
      <x:c r="R13" s="95" t="n">
        <x:f>SUM(J13:L13)</x:f>
        <x:v>1</x:v>
      </x:c>
      <x:c r="S13" s="96" t="str">
        <x:f>IF(ABS(R13-1)&lt;0.0001,"通过","需调整")</x:f>
        <x:v>通过</x:v>
      </x:c>
    </x:row>
    <x:row r="14" ht="21" customHeight="1">
      <x:c r="A14" s="68" t="n">
        <x:v>46204</x:v>
      </x:c>
      <x:c r="B14" s="89" t="str">
        <x:v>王雨晨</x:v>
      </x:c>
      <x:c r="C14" s="71" t="n">
        <x:v>812600</x:v>
      </x:c>
      <x:c r="D14" s="71" t="n">
        <x:v>1000000</x:v>
      </x:c>
      <x:c r="E14" s="74" t="n">
        <x:v>1530</x:v>
      </x:c>
      <x:c r="F14" s="74" t="n">
        <x:v>2000</x:v>
      </x:c>
      <x:c r="G14" s="71" t="n">
        <x:v>134079</x:v>
      </x:c>
      <x:c r="H14" s="74" t="n">
        <x:v>302</x:v>
      </x:c>
      <x:c r="I14" s="74" t="n">
        <x:v>365</x:v>
      </x:c>
      <x:c r="J14" s="80" t="n">
        <x:v>0.3</x:v>
      </x:c>
      <x:c r="K14" s="80" t="n">
        <x:v>0.55</x:v>
      </x:c>
      <x:c r="L14" s="81" t="n">
        <x:v>0.15</x:v>
      </x:c>
      <x:c r="M14" s="82" t="n">
        <x:f>IFERROR(C14/D14,0)</x:f>
        <x:v>0.8126</x:v>
      </x:c>
      <x:c r="N14" s="83" t="n">
        <x:f>IFERROR(E14/F14,0)</x:f>
        <x:v>0.765</x:v>
      </x:c>
      <x:c r="O14" s="83" t="n">
        <x:f>IFERROR(I14/H14,0)</x:f>
        <x:v>1.2086092715231789</x:v>
      </x:c>
      <x:c r="P14" s="83" t="n">
        <x:f>MIN(M14,1)*J14+MIN(N14,1)*K14+MIN(O14,1)*L14</x:f>
        <x:v>0.8145300000000001</x:v>
      </x:c>
      <x:c r="Q14" s="94" t="str">
        <x:f>IF(P14&gt;=0.9,"达标",IF(P14&gt;=0.7,"推进中","需关注"))</x:f>
        <x:v>推进中</x:v>
      </x:c>
      <x:c r="R14" s="95" t="n">
        <x:f>SUM(J14:L14)</x:f>
        <x:v>1</x:v>
      </x:c>
      <x:c r="S14" s="96" t="str">
        <x:f>IF(ABS(R14-1)&lt;0.0001,"通过","需调整")</x:f>
        <x:v>通过</x:v>
      </x:c>
    </x:row>
    <x:row r="15" ht="21" customHeight="1">
      <x:c r="A15" s="68" t="n">
        <x:v>46204</x:v>
      </x:c>
      <x:c r="B15" s="89" t="str">
        <x:v>陈慧慧</x:v>
      </x:c>
      <x:c r="C15" s="71" t="n">
        <x:v>334000</x:v>
      </x:c>
      <x:c r="D15" s="71" t="n">
        <x:v>500000</x:v>
      </x:c>
      <x:c r="E15" s="74" t="n">
        <x:v>680</x:v>
      </x:c>
      <x:c r="F15" s="74" t="n">
        <x:v>1000</x:v>
      </x:c>
      <x:c r="G15" s="71" t="n">
        <x:v>47428</x:v>
      </x:c>
      <x:c r="H15" s="74" t="n">
        <x:v>451</x:v>
      </x:c>
      <x:c r="I15" s="74" t="n">
        <x:v>450</x:v>
      </x:c>
      <x:c r="J15" s="80" t="n">
        <x:v>0.3</x:v>
      </x:c>
      <x:c r="K15" s="80" t="n">
        <x:v>0.55</x:v>
      </x:c>
      <x:c r="L15" s="81" t="n">
        <x:v>0.15</x:v>
      </x:c>
      <x:c r="M15" s="82" t="n">
        <x:f>IFERROR(C15/D15,0)</x:f>
        <x:v>0.668</x:v>
      </x:c>
      <x:c r="N15" s="83" t="n">
        <x:f>IFERROR(E15/F15,0)</x:f>
        <x:v>0.68</x:v>
      </x:c>
      <x:c r="O15" s="83" t="n">
        <x:f>IFERROR(I15/H15,0)</x:f>
        <x:v>0.9977827050997783</x:v>
      </x:c>
      <x:c r="P15" s="83" t="n">
        <x:f>MIN(M15,1)*J15+MIN(N15,1)*K15+MIN(O15,1)*L15</x:f>
        <x:v>0.7240674057649668</x:v>
      </x:c>
      <x:c r="Q15" s="94" t="str">
        <x:f>IF(P15&gt;=0.9,"达标",IF(P15&gt;=0.7,"推进中","需关注"))</x:f>
        <x:v>推进中</x:v>
      </x:c>
      <x:c r="R15" s="95" t="n">
        <x:f>SUM(J15:L15)</x:f>
        <x:v>1</x:v>
      </x:c>
      <x:c r="S15" s="96" t="str">
        <x:f>IF(ABS(R15-1)&lt;0.0001,"通过","需调整")</x:f>
        <x:v>通过</x:v>
      </x:c>
    </x:row>
    <x:row r="16" ht="21" customHeight="1">
      <x:c r="A16" s="68" t="n">
        <x:v>46204</x:v>
      </x:c>
      <x:c r="B16" s="89" t="str">
        <x:v>林晓峰</x:v>
      </x:c>
      <x:c r="C16" s="71" t="n">
        <x:v>675000</x:v>
      </x:c>
      <x:c r="D16" s="71" t="n">
        <x:v>750000</x:v>
      </x:c>
      <x:c r="E16" s="74" t="n">
        <x:v>1280</x:v>
      </x:c>
      <x:c r="F16" s="74" t="n">
        <x:v>1500</x:v>
      </x:c>
      <x:c r="G16" s="71" t="n">
        <x:v>106650</x:v>
      </x:c>
      <x:c r="H16" s="74" t="n">
        <x:v>355</x:v>
      </x:c>
      <x:c r="I16" s="74" t="n">
        <x:v>400</x:v>
      </x:c>
      <x:c r="J16" s="80" t="n">
        <x:v>0.3</x:v>
      </x:c>
      <x:c r="K16" s="80" t="n">
        <x:v>0.55</x:v>
      </x:c>
      <x:c r="L16" s="81" t="n">
        <x:v>0.15</x:v>
      </x:c>
      <x:c r="M16" s="82" t="n">
        <x:f>IFERROR(C16/D16,0)</x:f>
        <x:v>0.9</x:v>
      </x:c>
      <x:c r="N16" s="83" t="n">
        <x:f>IFERROR(E16/F16,0)</x:f>
        <x:v>0.8533333333333334</x:v>
      </x:c>
      <x:c r="O16" s="83" t="n">
        <x:f>IFERROR(I16/H16,0)</x:f>
        <x:v>1.1267605633802817</x:v>
      </x:c>
      <x:c r="P16" s="83" t="n">
        <x:f>MIN(M16,1)*J16+MIN(N16,1)*K16+MIN(O16,1)*L16</x:f>
        <x:v>0.8893333333333334</x:v>
      </x:c>
      <x:c r="Q16" s="94" t="str">
        <x:f>IF(P16&gt;=0.9,"达标",IF(P16&gt;=0.7,"推进中","需关注"))</x:f>
        <x:v>推进中</x:v>
      </x:c>
      <x:c r="R16" s="95" t="n">
        <x:f>SUM(J16:L16)</x:f>
        <x:v>1</x:v>
      </x:c>
      <x:c r="S16" s="96" t="str">
        <x:f>IF(ABS(R16-1)&lt;0.0001,"通过","需调整")</x:f>
        <x:v>通过</x:v>
      </x:c>
    </x:row>
    <x:row r="17" ht="21" customHeight="1">
      <x:c r="A17" s="68" t="n">
        <x:v>46204</x:v>
      </x:c>
      <x:c r="B17" s="89" t="str">
        <x:v>赵一鸣</x:v>
      </x:c>
      <x:c r="C17" s="71" t="n">
        <x:v>531000</x:v>
      </x:c>
      <x:c r="D17" s="71" t="n">
        <x:v>600000</x:v>
      </x:c>
      <x:c r="E17" s="74" t="n">
        <x:v>990</x:v>
      </x:c>
      <x:c r="F17" s="74" t="n">
        <x:v>1200</x:v>
      </x:c>
      <x:c r="G17" s="71" t="n">
        <x:v>80181</x:v>
      </x:c>
      <x:c r="H17" s="74" t="n">
        <x:v>370</x:v>
      </x:c>
      <x:c r="I17" s="74" t="n">
        <x:v>380</x:v>
      </x:c>
      <x:c r="J17" s="80" t="n">
        <x:v>0.3</x:v>
      </x:c>
      <x:c r="K17" s="80" t="n">
        <x:v>0.55</x:v>
      </x:c>
      <x:c r="L17" s="81" t="n">
        <x:v>0.15</x:v>
      </x:c>
      <x:c r="M17" s="82" t="n">
        <x:f>IFERROR(C17/D17,0)</x:f>
        <x:v>0.885</x:v>
      </x:c>
      <x:c r="N17" s="83" t="n">
        <x:f>IFERROR(E17/F17,0)</x:f>
        <x:v>0.825</x:v>
      </x:c>
      <x:c r="O17" s="83" t="n">
        <x:f>IFERROR(I17/H17,0)</x:f>
        <x:v>1.027027027027027</x:v>
      </x:c>
      <x:c r="P17" s="83" t="n">
        <x:f>MIN(M17,1)*J17+MIN(N17,1)*K17+MIN(O17,1)*L17</x:f>
        <x:v>0.86925</x:v>
      </x:c>
      <x:c r="Q17" s="94" t="str">
        <x:f>IF(P17&gt;=0.9,"达标",IF(P17&gt;=0.7,"推进中","需关注"))</x:f>
        <x:v>推进中</x:v>
      </x:c>
      <x:c r="R17" s="95" t="n">
        <x:f>SUM(J17:L17)</x:f>
        <x:v>1</x:v>
      </x:c>
      <x:c r="S17" s="96" t="str">
        <x:f>IF(ABS(R17-1)&lt;0.0001,"通过","需调整")</x:f>
        <x:v>通过</x:v>
      </x:c>
    </x:row>
    <x:row r="18" ht="21" customHeight="1">
      <x:c r="A18" s="68" t="n">
        <x:v>46235</x:v>
      </x:c>
      <x:c r="B18" s="89" t="str">
        <x:v>王雨晨</x:v>
      </x:c>
      <x:c r="C18" s="71" t="n">
        <x:v>329102</x:v>
      </x:c>
      <x:c r="D18" s="71" t="n">
        <x:v>1000000</x:v>
      </x:c>
      <x:c r="E18" s="74" t="n">
        <x:v>1413</x:v>
      </x:c>
      <x:c r="F18" s="74" t="n">
        <x:v>2000</x:v>
      </x:c>
      <x:c r="G18" s="71" t="n">
        <x:v>54302</x:v>
      </x:c>
      <x:c r="H18" s="74" t="n">
        <x:v>418</x:v>
      </x:c>
      <x:c r="I18" s="74" t="n">
        <x:v>365</x:v>
      </x:c>
      <x:c r="J18" s="80" t="n">
        <x:v>0.3</x:v>
      </x:c>
      <x:c r="K18" s="80" t="n">
        <x:v>0.55</x:v>
      </x:c>
      <x:c r="L18" s="81" t="n">
        <x:v>0.15</x:v>
      </x:c>
      <x:c r="M18" s="82" t="n">
        <x:f>IFERROR(C18/D18,0)</x:f>
        <x:v>0.329102</x:v>
      </x:c>
      <x:c r="N18" s="83" t="n">
        <x:f>IFERROR(E18/F18,0)</x:f>
        <x:v>0.7065</x:v>
      </x:c>
      <x:c r="O18" s="83" t="n">
        <x:f>IFERROR(I18/H18,0)</x:f>
        <x:v>0.8732057416267942</x:v>
      </x:c>
      <x:c r="P18" s="83" t="n">
        <x:f>MIN(M18,1)*J18+MIN(N18,1)*K18+MIN(O18,1)*L18</x:f>
        <x:v>0.6182864612440192</x:v>
      </x:c>
      <x:c r="Q18" s="94" t="str">
        <x:f>IF(P18&gt;=0.9,"达标",IF(P18&gt;=0.7,"推进中","需关注"))</x:f>
        <x:v>需关注</x:v>
      </x:c>
      <x:c r="R18" s="95" t="n">
        <x:f>SUM(J18:L18)</x:f>
        <x:v>1</x:v>
      </x:c>
      <x:c r="S18" s="96" t="str">
        <x:f>IF(ABS(R18-1)&lt;0.0001,"通过","需调整")</x:f>
        <x:v>通过</x:v>
      </x:c>
    </x:row>
    <x:row r="19" ht="21" customHeight="1">
      <x:c r="A19" s="68" t="n">
        <x:v>46235</x:v>
      </x:c>
      <x:c r="B19" s="89" t="str">
        <x:v>陈慧慧</x:v>
      </x:c>
      <x:c r="C19" s="71" t="n">
        <x:v>9313</x:v>
      </x:c>
      <x:c r="D19" s="71" t="n">
        <x:v>500000</x:v>
      </x:c>
      <x:c r="E19" s="74" t="n">
        <x:v>41</x:v>
      </x:c>
      <x:c r="F19" s="74" t="n">
        <x:v>1000</x:v>
      </x:c>
      <x:c r="G19" s="71" t="n">
        <x:v>1322</x:v>
      </x:c>
      <x:c r="H19" s="74" t="n">
        <x:v>1430</x:v>
      </x:c>
      <x:c r="I19" s="74" t="n">
        <x:v>450</x:v>
      </x:c>
      <x:c r="J19" s="80" t="n">
        <x:v>0.3</x:v>
      </x:c>
      <x:c r="K19" s="80" t="n">
        <x:v>0.55</x:v>
      </x:c>
      <x:c r="L19" s="81" t="n">
        <x:v>0.15</x:v>
      </x:c>
      <x:c r="M19" s="82" t="n">
        <x:f>IFERROR(C19/D19,0)</x:f>
        <x:v>0.018626</x:v>
      </x:c>
      <x:c r="N19" s="83" t="n">
        <x:f>IFERROR(E19/F19,0)</x:f>
        <x:v>0.041</x:v>
      </x:c>
      <x:c r="O19" s="83" t="n">
        <x:f>IFERROR(I19/H19,0)</x:f>
        <x:v>0.3146853146853147</x:v>
      </x:c>
      <x:c r="P19" s="83" t="n">
        <x:f>MIN(M19,1)*J19+MIN(N19,1)*K19+MIN(O19,1)*L19</x:f>
        <x:v>0.0753405972027972</x:v>
      </x:c>
      <x:c r="Q19" s="94" t="str">
        <x:f>IF(P19&gt;=0.9,"达标",IF(P19&gt;=0.7,"推进中","需关注"))</x:f>
        <x:v>需关注</x:v>
      </x:c>
      <x:c r="R19" s="95" t="n">
        <x:f>SUM(J19:L19)</x:f>
        <x:v>1</x:v>
      </x:c>
      <x:c r="S19" s="96" t="str">
        <x:f>IF(ABS(R19-1)&lt;0.0001,"通过","需调整")</x:f>
        <x:v>通过</x:v>
      </x:c>
    </x:row>
    <x:row r="20" ht="21" customHeight="1">
      <x:c r="A20" s="68" t="n">
        <x:v>46235</x:v>
      </x:c>
      <x:c r="B20" s="89" t="str">
        <x:v>林晓峰</x:v>
      </x:c>
      <x:c r="C20" s="71" t="n">
        <x:v>621500</x:v>
      </x:c>
      <x:c r="D20" s="71" t="n">
        <x:v>750000</x:v>
      </x:c>
      <x:c r="E20" s="74" t="n">
        <x:v>1201</x:v>
      </x:c>
      <x:c r="F20" s="74" t="n">
        <x:v>1500</x:v>
      </x:c>
      <x:c r="G20" s="71" t="n">
        <x:v>98197</x:v>
      </x:c>
      <x:c r="H20" s="74" t="n">
        <x:v>389</x:v>
      </x:c>
      <x:c r="I20" s="74" t="n">
        <x:v>400</x:v>
      </x:c>
      <x:c r="J20" s="80" t="n">
        <x:v>0.3</x:v>
      </x:c>
      <x:c r="K20" s="80" t="n">
        <x:v>0.55</x:v>
      </x:c>
      <x:c r="L20" s="81" t="n">
        <x:v>0.15</x:v>
      </x:c>
      <x:c r="M20" s="82" t="n">
        <x:f>IFERROR(C20/D20,0)</x:f>
        <x:v>0.8286666666666667</x:v>
      </x:c>
      <x:c r="N20" s="83" t="n">
        <x:f>IFERROR(E20/F20,0)</x:f>
        <x:v>0.8006666666666666</x:v>
      </x:c>
      <x:c r="O20" s="83" t="n">
        <x:f>IFERROR(I20/H20,0)</x:f>
        <x:v>1.0282776349614395</x:v>
      </x:c>
      <x:c r="P20" s="83" t="n">
        <x:f>MIN(M20,1)*J20+MIN(N20,1)*K20+MIN(O20,1)*L20</x:f>
        <x:v>0.8389666666666667</x:v>
      </x:c>
      <x:c r="Q20" s="94" t="str">
        <x:f>IF(P20&gt;=0.9,"达标",IF(P20&gt;=0.7,"推进中","需关注"))</x:f>
        <x:v>推进中</x:v>
      </x:c>
      <x:c r="R20" s="95" t="n">
        <x:f>SUM(J20:L20)</x:f>
        <x:v>1</x:v>
      </x:c>
      <x:c r="S20" s="96" t="str">
        <x:f>IF(ABS(R20-1)&lt;0.0001,"通过","需调整")</x:f>
        <x:v>通过</x:v>
      </x:c>
    </x:row>
    <x:row r="21" ht="21" customHeight="1">
      <x:c r="A21" s="69" t="n">
        <x:v>46235</x:v>
      </x:c>
      <x:c r="B21" s="90" t="str">
        <x:v>赵一鸣</x:v>
      </x:c>
      <x:c r="C21" s="72" t="n">
        <x:v>512400</x:v>
      </x:c>
      <x:c r="D21" s="72" t="n">
        <x:v>600000</x:v>
      </x:c>
      <x:c r="E21" s="75" t="n">
        <x:v>1028</x:v>
      </x:c>
      <x:c r="F21" s="75" t="n">
        <x:v>1200</x:v>
      </x:c>
      <x:c r="G21" s="72" t="n">
        <x:v>77372</x:v>
      </x:c>
      <x:c r="H21" s="75" t="n">
        <x:v>405</x:v>
      </x:c>
      <x:c r="I21" s="75" t="n">
        <x:v>380</x:v>
      </x:c>
      <x:c r="J21" s="84" t="n">
        <x:v>0.3</x:v>
      </x:c>
      <x:c r="K21" s="84" t="n">
        <x:v>0.55</x:v>
      </x:c>
      <x:c r="L21" s="85" t="n">
        <x:v>0.15</x:v>
      </x:c>
      <x:c r="M21" s="86" t="n">
        <x:f>IFERROR(C21/D21,0)</x:f>
        <x:v>0.854</x:v>
      </x:c>
      <x:c r="N21" s="87" t="n">
        <x:f>IFERROR(E21/F21,0)</x:f>
        <x:v>0.8566666666666667</x:v>
      </x:c>
      <x:c r="O21" s="87" t="n">
        <x:f>IFERROR(I21/H21,0)</x:f>
        <x:v>0.9382716049382716</x:v>
      </x:c>
      <x:c r="P21" s="87" t="n">
        <x:f>MIN(M21,1)*J21+MIN(N21,1)*K21+MIN(O21,1)*L21</x:f>
        <x:v>0.8681074074074074</x:v>
      </x:c>
      <x:c r="Q21" s="97" t="str">
        <x:f>IF(P21&gt;=0.9,"达标",IF(P21&gt;=0.7,"推进中","需关注"))</x:f>
        <x:v>推进中</x:v>
      </x:c>
      <x:c r="R21" s="98" t="n">
        <x:f>SUM(J21:L21)</x:f>
        <x:v>1</x:v>
      </x:c>
      <x:c r="S21" s="99" t="str">
        <x:f>IF(ABS(R21-1)&lt;0.0001,"通过","需调整")</x:f>
        <x:v>通过</x:v>
      </x:c>
    </x:row>
  </x:sheetData>
  <x:conditionalFormatting sqref="M2:P21">
    <x:cfRule type="colorScale" priority="1">
      <x:colorScale>
        <x:cfvo type="min"/>
        <x:cfvo type="percentile" val="50"/>
        <x:cfvo type="max"/>
        <x:color rgb="FFFCE7E7"/>
        <x:color rgb="FFFFF3C4"/>
        <x:color rgb="FFD9F2E6"/>
      </x:colorScale>
    </x:cfRule>
  </x:conditionalFormatting>
  <x:conditionalFormatting sqref="Q2:Q21">
    <x:cfRule type="containsText" dxfId="0" priority="2" operator="containsText" text="需关注"/>
    <x:cfRule type="containsText" dxfId="1" priority="3" operator="containsText" text="达标"/>
  </x:conditionalFormatting>
  <x:conditionalFormatting sqref="S2:S21">
    <x:cfRule type="containsText" dxfId="2" priority="4" operator="containsText" text="需调整"/>
  </x:conditionalFormatting>
  <x:pageMargins left="0.7" right="0.7" top="0.75" bottom="0.75" header="0.3" footer="0.3"/>
  <x:tableParts count="1">
    <x:tablePart xmlns:r="http://schemas.openxmlformats.org/officeDocument/2006/relationships" r:id="Ra8b4b20d5533497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6" hidden="0" customWidth="1"/>
    <x:col min="3" max="3" width="12" hidden="0" customWidth="1"/>
    <x:col min="4" max="4" width="28" hidden="0" customWidth="1"/>
    <x:col min="5" max="5" width="24" hidden="0" customWidth="1"/>
    <x:col min="6" max="6" width="12" hidden="0" customWidth="1"/>
  </x:cols>
  <x:sheetData>
    <x:row r="1" ht="30" customHeight="1">
      <x:c r="A1" s="102" t="str">
        <x:v>目标任务进度图表 · 字段映射说明</x:v>
      </x:c>
      <x:c r="B1" s="102"/>
      <x:c r="C1" s="102"/>
      <x:c r="D1" s="102"/>
      <x:c r="E1" s="102"/>
      <x:c r="F1" s="102"/>
    </x:row>
    <x:row r="3">
      <x:c r="A3" s="106" t="str">
        <x:v>图表用途</x:v>
      </x:c>
      <x:c r="B3" s="106" t="str">
        <x:v>建议绑定字段</x:v>
      </x:c>
      <x:c r="C3" s="106" t="str">
        <x:v>数据类型</x:v>
      </x:c>
      <x:c r="D3" s="106" t="str">
        <x:v>用途说明</x:v>
      </x:c>
      <x:c r="E3" s="106" t="str">
        <x:v>示例值</x:v>
      </x:c>
      <x:c r="F3" s="106" t="str">
        <x:v>是否必填</x:v>
      </x:c>
    </x:row>
    <x:row r="4" ht="32" customHeight="1">
      <x:c r="A4" s="110" t="str">
        <x:v>月度切换</x:v>
      </x:c>
      <x:c r="B4" s="111" t="str">
        <x:v>统计月份</x:v>
      </x:c>
      <x:c r="C4" s="111" t="str">
        <x:v>日期</x:v>
      </x:c>
      <x:c r="D4" s="111" t="str">
        <x:v>用于年、月筛选器</x:v>
      </x:c>
      <x:c r="E4" s="111" t="str">
        <x:v>2026-08-01</x:v>
      </x:c>
      <x:c r="F4" s="111" t="str">
        <x:v>是</x:v>
      </x:c>
    </x:row>
    <x:row r="5" ht="32" customHeight="1">
      <x:c r="A5" s="110" t="str">
        <x:v>员工维度</x:v>
      </x:c>
      <x:c r="B5" s="111" t="str">
        <x:v>员工</x:v>
      </x:c>
      <x:c r="C5" s="111" t="str">
        <x:v>文本</x:v>
      </x:c>
      <x:c r="D5" s="111" t="str">
        <x:v>目标表格按员工展示</x:v>
      </x:c>
      <x:c r="E5" s="111" t="str">
        <x:v>王雨晨</x:v>
      </x:c>
      <x:c r="F5" s="111" t="str">
        <x:v>是</x:v>
      </x:c>
    </x:row>
    <x:row r="6" ht="32" customHeight="1">
      <x:c r="A6" s="110" t="str">
        <x:v>GMV指标</x:v>
      </x:c>
      <x:c r="B6" s="111" t="str">
        <x:v>GMV实际(欧元) / GMV目标(欧元)</x:v>
      </x:c>
      <x:c r="C6" s="111" t="str">
        <x:v>数值</x:v>
      </x:c>
      <x:c r="D6" s="111" t="str">
        <x:v>完成金额与目标金额配对</x:v>
      </x:c>
      <x:c r="E6" s="111" t="str">
        <x:v>329,102 / 1,000,000</x:v>
      </x:c>
      <x:c r="F6" s="111" t="str">
        <x:v>是</x:v>
      </x:c>
    </x:row>
    <x:row r="7" ht="32" customHeight="1">
      <x:c r="A7" s="110" t="str">
        <x:v>销量指标</x:v>
      </x:c>
      <x:c r="B7" s="111" t="str">
        <x:v>销量实际(件) / 销量目标(件)</x:v>
      </x:c>
      <x:c r="C7" s="111" t="str">
        <x:v>数值</x:v>
      </x:c>
      <x:c r="D7" s="111" t="str">
        <x:v>完成件数与目标件数配对</x:v>
      </x:c>
      <x:c r="E7" s="111" t="str">
        <x:v>1,413 / 2,000</x:v>
      </x:c>
      <x:c r="F7" s="111" t="str">
        <x:v>是</x:v>
      </x:c>
    </x:row>
    <x:row r="8" ht="32" customHeight="1">
      <x:c r="A8" s="110" t="str">
        <x:v>周转指标</x:v>
      </x:c>
      <x:c r="B8" s="111" t="str">
        <x:v>周转天数(实际) / 周转天数目标</x:v>
      </x:c>
      <x:c r="C8" s="111" t="str">
        <x:v>数值</x:v>
      </x:c>
      <x:c r="D8" s="111" t="str">
        <x:v>低于目标天数即超额完成</x:v>
      </x:c>
      <x:c r="E8" s="111" t="str">
        <x:v>418 / 365</x:v>
      </x:c>
      <x:c r="F8" s="111" t="str">
        <x:v>是</x:v>
      </x:c>
    </x:row>
    <x:row r="9" ht="32" customHeight="1">
      <x:c r="A9" s="110" t="str">
        <x:v>权重设置</x:v>
      </x:c>
      <x:c r="B9" s="111" t="str">
        <x:v>GMV权重 / 销量权重 / 周转天数权重</x:v>
      </x:c>
      <x:c r="C9" s="111" t="str">
        <x:v>百分比</x:v>
      </x:c>
      <x:c r="D9" s="111" t="str">
        <x:v>员工每月评分权重，合计必须为 100%</x:v>
      </x:c>
      <x:c r="E9" s="111" t="str">
        <x:v>30% / 55% / 15%</x:v>
      </x:c>
      <x:c r="F9" s="111" t="str">
        <x:v>是</x:v>
      </x:c>
    </x:row>
    <x:row r="10" ht="32" customHeight="1">
      <x:c r="A10" s="110" t="str">
        <x:v>辅助展示</x:v>
      </x:c>
      <x:c r="B10" s="111" t="str">
        <x:v>毛利(欧元)</x:v>
      </x:c>
      <x:c r="C10" s="111" t="str">
        <x:v>数值</x:v>
      </x:c>
      <x:c r="D10" s="111" t="str">
        <x:v>可在表格中作为补充经营指标展示</x:v>
      </x:c>
      <x:c r="E10" s="111" t="str">
        <x:v>54,342</x:v>
      </x:c>
      <x:c r="F10" s="111" t="str">
        <x:v>否</x:v>
      </x:c>
    </x:row>
    <x:row r="12" ht="48" customHeight="1">
      <x:c r="A12" s="120" t="str">
        <x:v>上传建议：选择“目标任务数据”工作表作为数据源。后续可在图表配置中将“统计月份”设为日期维度，将“员工”设为行维度，并为三项任务指标分别完成实际值、目标值和权重字段的绑定。</x:v>
      </x:c>
      <x:c r="B12" s="121"/>
      <x:c r="C12" s="121"/>
      <x:c r="D12" s="121"/>
      <x:c r="E12" s="121"/>
      <x:c r="F12" s="122"/>
    </x:row>
  </x:sheetData>
  <x:mergeCells>
    <x:mergeCell ref="A1:F1"/>
    <x:mergeCell ref="A12:F12"/>
  </x:mergeCells>
  <x:pageMargins left="0.7" right="0.7" top="0.75" bottom="0.75" header="0.3" footer="0.3"/>
</x:worksheet>
</file>