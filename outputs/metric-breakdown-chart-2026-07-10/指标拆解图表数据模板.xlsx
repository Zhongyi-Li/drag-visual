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9ed0fe749435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指标拆解数据" sheetId="1" r:id="R2d2434a5a43f4956"/>
    <sheet xmlns:r="http://schemas.openxmlformats.org/officeDocument/2006/relationships" name="指标拆解汇总" sheetId="2" r:id="R51239a6526214e0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#,##0"/>
    <numFmt numFmtId="202" formatCode="0.0%"/>
  </numFmts>
  <fonts count="9">
    <font>
      <sz val="11"/>
      <name val="Carlito"/>
    </font>
    <font>
      <b/>
      <sz val="11"/>
      <color rgb="FFFFFFFF"/>
      <name val="Carlito"/>
    </font>
    <font>
      <b/>
      <sz val="11"/>
      <color rgb="FFFFFFFF"/>
      <name val="Aptos"/>
    </font>
    <font>
      <sz val="11"/>
      <name val="Aptos"/>
    </font>
    <font>
      <b/>
      <sz val="16"/>
      <color rgb="FFFFFFFF"/>
      <name val="Carlito"/>
    </font>
    <font>
      <b/>
      <sz val="11"/>
      <color rgb="FF1E3A8A"/>
      <name val="Carlito"/>
    </font>
    <font>
      <b/>
      <sz val="11"/>
      <color rgb="FF334155"/>
      <name val="Carlito"/>
    </font>
    <font>
      <b/>
      <sz val="11"/>
      <color rgb="FF075985"/>
      <name val="Carlito"/>
    </font>
    <font>
      <sz val="11"/>
      <color rgb="FF334155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77FF"/>
      </patternFill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E0F2FE"/>
      </patternFill>
    </fill>
  </fills>
  <borders count="16">
    <border/>
    <border>
      <left style="thin">
        <color rgb="FFBFDBFE"/>
      </left>
      <top style="thin">
        <color rgb="FFBFDBFE"/>
      </top>
    </border>
    <border>
      <top style="thin">
        <color rgb="FFBFDBFE"/>
      </top>
    </border>
    <border>
      <right style="thin">
        <color rgb="FFBFDBFE"/>
      </right>
      <top style="thin">
        <color rgb="FFBFDBFE"/>
      </top>
    </border>
    <border>
      <left style="thin">
        <color rgb="FFBFDBFE"/>
      </left>
    </border>
    <border>
      <right style="thin">
        <color rgb="FFBFDBFE"/>
      </right>
    </border>
    <border>
      <left style="thin">
        <color rgb="FFBFDBFE"/>
      </left>
      <bottom style="thin">
        <color rgb="FFBFDBFE"/>
      </bottom>
    </border>
    <border>
      <bottom style="thin">
        <color rgb="FFBFDBFE"/>
      </bottom>
    </border>
    <border>
      <right style="thin">
        <color rgb="FFBFDBFE"/>
      </right>
      <bottom style="thin">
        <color rgb="FFBFDBFE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BAE6FD"/>
      </left>
      <top style="thin">
        <color rgb="FFBAE6FD"/>
      </top>
    </border>
    <border>
      <right style="thin">
        <color rgb="FFBAE6FD"/>
      </right>
      <top style="thin">
        <color rgb="FFBAE6FD"/>
      </top>
    </border>
    <border>
      <left style="thin">
        <color rgb="FFBAE6FD"/>
      </left>
    </border>
    <border>
      <right style="thin">
        <color rgb="FFBAE6FD"/>
      </right>
    </border>
    <border>
      <left style="thin">
        <color rgb="FFBAE6FD"/>
      </left>
      <bottom style="thin">
        <color rgb="FFBAE6FD"/>
      </bottom>
    </border>
    <border>
      <right style="thin">
        <color rgb="FFBAE6FD"/>
      </right>
      <bottom style="thin">
        <color rgb="FFBAE6FD"/>
      </bottom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/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/>
    <xf numFmtId="0" fontId="3" fillId="0" borderId="5" xfId="0" applyNumberFormat="1" applyFont="1" applyFill="1" applyBorder="1"/>
    <xf numFmtId="0" fontId="3" fillId="0" borderId="6" xfId="0" applyNumberFormat="1" applyFont="1" applyFill="1" applyBorder="1"/>
    <xf numFmtId="0" fontId="3" fillId="0" borderId="7" xfId="0" applyNumberFormat="1" applyFont="1" applyFill="1" applyBorder="1"/>
    <xf numFmtId="0" fontId="3" fillId="0" borderId="8" xfId="0" applyNumberFormat="1" applyFont="1" applyFill="1" applyBorder="1"/>
    <xf numFmtId="200" fontId="3" fillId="0" borderId="4" xfId="0" applyNumberFormat="1" applyFont="1" applyFill="1" applyBorder="1"/>
    <xf numFmtId="200" fontId="3" fillId="0" borderId="6" xfId="0" applyNumberFormat="1" applyFont="1" applyFill="1" applyBorder="1"/>
    <xf numFmtId="201" fontId="3" fillId="0" borderId="0" xfId="0" applyNumberFormat="1" applyFont="1" applyFill="1" applyBorder="1"/>
    <xf numFmtId="201" fontId="3" fillId="0" borderId="5" xfId="0" applyNumberFormat="1" applyFont="1" applyFill="1" applyBorder="1"/>
    <xf numFmtId="201" fontId="3" fillId="0" borderId="7" xfId="0" applyNumberFormat="1" applyFont="1" applyFill="1" applyBorder="1"/>
    <xf numFmtId="201" fontId="3" fillId="0" borderId="8" xfId="0" applyNumberFormat="1" applyFont="1" applyFill="1" applyBorder="1"/>
    <xf numFmtId="200" fontId="3" fillId="0" borderId="4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20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201" fontId="3" fillId="0" borderId="0" xfId="0" applyNumberFormat="1" applyFont="1" applyFill="1" applyBorder="1" applyAlignment="1">
      <alignment horizontal="right"/>
    </xf>
    <xf numFmtId="201" fontId="3" fillId="0" borderId="5" xfId="0" applyNumberFormat="1" applyFont="1" applyFill="1" applyBorder="1" applyAlignment="1">
      <alignment horizontal="right"/>
    </xf>
    <xf numFmtId="201" fontId="3" fillId="0" borderId="7" xfId="0" applyNumberFormat="1" applyFont="1" applyFill="1" applyBorder="1" applyAlignment="1">
      <alignment horizontal="right"/>
    </xf>
    <xf numFmtId="201" fontId="3" fillId="0" borderId="8" xfId="0" applyNumberFormat="1" applyFont="1" applyFill="1" applyBorder="1" applyAlignment="1">
      <alignment horizontal="right"/>
    </xf>
    <xf numFmtId="0" fontId="0" fillId="3" borderId="0" xfId="0" applyNumberFormat="1" applyFont="1" applyFill="1" applyBorder="1"/>
    <xf numFmtId="0" fontId="4" fillId="3" borderId="0" xfId="0" applyNumberFormat="1" applyFont="1" applyFill="1" applyBorder="1"/>
    <xf numFmtId="0" fontId="4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left" vertical="center"/>
    </xf>
    <xf numFmtId="0" fontId="0" fillId="4" borderId="0" xfId="0" applyNumberFormat="1" applyFont="1" applyFill="1" applyBorder="1"/>
    <xf numFmtId="0" fontId="5" fillId="4" borderId="0" xfId="0" applyNumberFormat="1" applyFont="1" applyFill="1" applyBorder="1"/>
    <xf numFmtId="0" fontId="5" fillId="4" borderId="0" xfId="0" applyNumberFormat="1" applyFont="1" applyFill="1" applyBorder="1" applyAlignment="1">
      <alignment horizontal="center"/>
    </xf>
    <xf numFmtId="0" fontId="0" fillId="5" borderId="0" xfId="0" applyNumberFormat="1" applyFont="1" applyFill="1" applyBorder="1"/>
    <xf numFmtId="0" fontId="6" fillId="5" borderId="0" xfId="0" applyNumberFormat="1" applyFont="1" applyFill="1" applyBorder="1"/>
    <xf numFmtId="0" fontId="0" fillId="6" borderId="0" xfId="0" applyNumberFormat="1" applyFont="1" applyFill="1" applyBorder="1"/>
    <xf numFmtId="0" fontId="0" fillId="6" borderId="0" xfId="0" applyNumberFormat="1" applyFont="1" applyFill="1" applyBorder="1" applyAlignment="1">
      <alignment horizontal="right"/>
    </xf>
    <xf numFmtId="0" fontId="5" fillId="4" borderId="9" xfId="0" applyNumberFormat="1" applyFont="1" applyFill="1" applyBorder="1" applyAlignment="1">
      <alignment horizontal="center"/>
    </xf>
    <xf numFmtId="0" fontId="6" fillId="5" borderId="9" xfId="0" applyNumberFormat="1" applyFont="1" applyFill="1" applyBorder="1"/>
    <xf numFmtId="0" fontId="0" fillId="6" borderId="9" xfId="0" applyNumberFormat="1" applyFont="1" applyFill="1" applyBorder="1" applyAlignment="1">
      <alignment horizontal="right"/>
    </xf>
    <xf numFmtId="201" fontId="0" fillId="6" borderId="9" xfId="0" applyNumberFormat="1" applyFont="1" applyFill="1" applyBorder="1" applyAlignment="1">
      <alignment horizontal="right"/>
    </xf>
    <xf numFmtId="202" fontId="0" fillId="6" borderId="9" xfId="0" applyNumberFormat="1" applyFont="1" applyFill="1" applyBorder="1" applyAlignment="1">
      <alignment horizontal="right"/>
    </xf>
    <xf numFmtId="0" fontId="0" fillId="7" borderId="0" xfId="0" applyNumberFormat="1" applyFont="1" applyFill="1" applyBorder="1"/>
    <xf numFmtId="0" fontId="7" fillId="7" borderId="0" xfId="0" applyNumberFormat="1" applyFont="1" applyFill="1" applyBorder="1"/>
    <xf numFmtId="0" fontId="7" fillId="7" borderId="0" xfId="0" applyNumberFormat="1" applyFont="1" applyFill="1" applyBorder="1" applyAlignment="1">
      <alignment horizontal="left"/>
    </xf>
    <xf numFmtId="0" fontId="8" fillId="5" borderId="0" xfId="0" applyNumberFormat="1" applyFont="1" applyFill="1" applyBorder="1"/>
    <xf numFmtId="0" fontId="8" fillId="5" borderId="0" xfId="0" applyNumberFormat="1" applyFont="1" applyFill="1" applyBorder="1" applyAlignment="1">
      <alignment wrapText="1"/>
    </xf>
    <xf numFmtId="0" fontId="8" fillId="5" borderId="0" xfId="0" applyNumberFormat="1" applyFont="1" applyFill="1" applyBorder="1" applyAlignment="1">
      <alignment vertical="center" wrapText="1"/>
    </xf>
    <xf numFmtId="0" fontId="7" fillId="7" borderId="10" xfId="0" applyNumberFormat="1" applyFont="1" applyFill="1" applyBorder="1" applyAlignment="1">
      <alignment horizontal="left"/>
    </xf>
    <xf numFmtId="0" fontId="7" fillId="7" borderId="11" xfId="0" applyNumberFormat="1" applyFont="1" applyFill="1" applyBorder="1" applyAlignment="1">
      <alignment horizontal="left"/>
    </xf>
    <xf numFmtId="0" fontId="8" fillId="5" borderId="12" xfId="0" applyNumberFormat="1" applyFont="1" applyFill="1" applyBorder="1" applyAlignment="1">
      <alignment vertical="center" wrapText="1"/>
    </xf>
    <xf numFmtId="0" fontId="8" fillId="5" borderId="13" xfId="0" applyNumberFormat="1" applyFont="1" applyFill="1" applyBorder="1" applyAlignment="1">
      <alignment vertical="center" wrapText="1"/>
    </xf>
    <xf numFmtId="0" fontId="8" fillId="5" borderId="14" xfId="0" applyNumberFormat="1" applyFont="1" applyFill="1" applyBorder="1" applyAlignment="1">
      <alignment vertical="center" wrapText="1"/>
    </xf>
    <xf numFmtId="0" fontId="8" fillId="5" borderId="15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7d39af98499647f7" /><Relationship Type="http://schemas.openxmlformats.org/officeDocument/2006/relationships/theme" Target="theme/theme1.xml" Id="R5aaf640ff2764c4a" /><Relationship Type="http://schemas.openxmlformats.org/officeDocument/2006/relationships/sharedStrings" Target="sharedStrings.xml" Id="Re8a054a6728549b4" /><Relationship Type="http://schemas.openxmlformats.org/officeDocument/2006/relationships/worksheet" Target="worksheets/sheet1.xml" Id="R2d2434a5a43f4956" /><Relationship Type="http://schemas.openxmlformats.org/officeDocument/2006/relationships/worksheet" Target="worksheets/sheet2.xml" Id="R51239a6526214e03" /></Relationships>
</file>

<file path=xl/tables/table1.xml><?xml version="1.0" encoding="utf-8"?>
<x:table xmlns:x="http://schemas.openxmlformats.org/spreadsheetml/2006/main" id="1" name="MetricBreakdownDataTable" displayName="MetricBreakdownDataTable" ref="A1:E9" headerRowCount="1" totalsRowCount="0" totalsRowShown="0">
  <x:tableColumns count="5">
    <x:tableColumn id="1" name="业务日期"/>
    <x:tableColumn id="2" name="产品线"/>
    <x:tableColumn id="3" name="销售额"/>
    <x:tableColumn id="4" name="订单数"/>
    <x:tableColumn id="5" name="毛利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770faed0174f22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6" hidden="0" customWidth="1"/>
    <col min="3" max="3" width="14" hidden="0" customWidth="1"/>
    <col min="4" max="4" width="14" hidden="0" customWidth="1"/>
    <col min="5" max="5" width="14" hidden="0" customWidth="1"/>
  </cols>
  <sheetData>
    <row r="1" ht="24" customHeight="1">
      <c r="A1" s="7" t="inlineStr">
        <is>
          <t>业务日期</t>
        </is>
      </c>
      <c r="B1" s="8" t="inlineStr">
        <is>
          <t>产品线</t>
        </is>
      </c>
      <c r="C1" s="8" t="inlineStr">
        <is>
          <t>销售额</t>
        </is>
      </c>
      <c r="D1" s="8" t="inlineStr">
        <is>
          <t>订单数</t>
        </is>
      </c>
      <c r="E1" s="9" t="inlineStr">
        <is>
          <t>毛利额</t>
        </is>
      </c>
    </row>
    <row r="2">
      <c r="A2" s="21" t="n">
        <v>46204</v>
      </c>
      <c r="B2" s="22" t="inlineStr">
        <is>
          <t>企业版</t>
        </is>
      </c>
      <c r="C2" s="25" t="n">
        <v>180000</v>
      </c>
      <c r="D2" s="25" t="n">
        <v>210</v>
      </c>
      <c r="E2" s="26" t="n">
        <v>76000</v>
      </c>
    </row>
    <row r="3">
      <c r="A3" s="21" t="n">
        <v>46206</v>
      </c>
      <c r="B3" s="22" t="inlineStr">
        <is>
          <t>标准版</t>
        </is>
      </c>
      <c r="C3" s="25" t="n">
        <v>98000</v>
      </c>
      <c r="D3" s="25" t="n">
        <v>185</v>
      </c>
      <c r="E3" s="26" t="n">
        <v>36000</v>
      </c>
    </row>
    <row r="4">
      <c r="A4" s="21" t="n">
        <v>46211</v>
      </c>
      <c r="B4" s="22" t="inlineStr">
        <is>
          <t>基础版</t>
        </is>
      </c>
      <c r="C4" s="25" t="n">
        <v>52000</v>
      </c>
      <c r="D4" s="25" t="n">
        <v>148</v>
      </c>
      <c r="E4" s="26" t="n">
        <v>16000</v>
      </c>
    </row>
    <row r="5">
      <c r="A5" s="21" t="n">
        <v>46214</v>
      </c>
      <c r="B5" s="22" t="inlineStr">
        <is>
          <t>企业版</t>
        </is>
      </c>
      <c r="C5" s="25" t="n">
        <v>145000</v>
      </c>
      <c r="D5" s="25" t="n">
        <v>168</v>
      </c>
      <c r="E5" s="26" t="n">
        <v>59000</v>
      </c>
    </row>
    <row r="6">
      <c r="A6" s="21" t="n">
        <v>46219</v>
      </c>
      <c r="B6" s="22" t="inlineStr">
        <is>
          <t>增长版</t>
        </is>
      </c>
      <c r="C6" s="25" t="n">
        <v>87000</v>
      </c>
      <c r="D6" s="25" t="n">
        <v>132</v>
      </c>
      <c r="E6" s="26" t="n">
        <v>29000</v>
      </c>
    </row>
    <row r="7">
      <c r="A7" s="21" t="n">
        <v>46223</v>
      </c>
      <c r="B7" s="22" t="inlineStr">
        <is>
          <t>标准版</t>
        </is>
      </c>
      <c r="C7" s="25" t="n">
        <v>76000</v>
      </c>
      <c r="D7" s="25" t="n">
        <v>121</v>
      </c>
      <c r="E7" s="26" t="n">
        <v>28000</v>
      </c>
    </row>
    <row r="8">
      <c r="A8" s="21" t="n">
        <v>46227</v>
      </c>
      <c r="B8" s="22" t="inlineStr">
        <is>
          <t>基础版</t>
        </is>
      </c>
      <c r="C8" s="25" t="n">
        <v>43000</v>
      </c>
      <c r="D8" s="25" t="n">
        <v>96</v>
      </c>
      <c r="E8" s="26" t="n">
        <v>12000</v>
      </c>
    </row>
    <row r="9">
      <c r="A9" s="23" t="n">
        <v>46231</v>
      </c>
      <c r="B9" s="24" t="inlineStr">
        <is>
          <t>增长版</t>
        </is>
      </c>
      <c r="C9" s="27" t="n">
        <v>69000</v>
      </c>
      <c r="D9" s="27" t="n">
        <v>104</v>
      </c>
      <c r="E9" s="28" t="n">
        <v>23000</v>
      </c>
    </row>
  </sheetData>
  <pageMargins left="0.7" right="0.7" top="0.75" bottom="0.75" header="0.3" footer="0.3"/>
  <tableParts count="1">
    <tablePart xmlns:r="http://schemas.openxmlformats.org/officeDocument/2006/relationships" r:id="R17770faed0174f22"/>
  </tableParts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5" max="5" width="20" hidden="0" customWidth="1"/>
    <x:col min="6" max="6" width="20" hidden="0" customWidth="1"/>
  </x:cols>
  <x:sheetData>
    <x:row r="1" ht="32" customHeight="1">
      <x:c r="A1" s="32" t="str">
        <x:v>销售额指标拆解摘要</x:v>
      </x:c>
      <x:c r="B1" s="32"/>
      <x:c r="C1" s="32"/>
      <x:c r="D1" s="32"/>
      <x:c r="E1" s="32"/>
      <x:c r="F1" s="32"/>
    </x:row>
    <x:row r="3">
      <x:c r="A3" s="40" t="str">
        <x:v>产品线</x:v>
      </x:c>
      <x:c r="B3" s="40" t="str">
        <x:v>销售额</x:v>
      </x:c>
      <x:c r="C3" s="40" t="str">
        <x:v>贡献占比</x:v>
      </x:c>
      <x:c r="E3" s="51" t="str">
        <x:v>导入与绑定说明</x:v>
      </x:c>
      <x:c r="F3" s="52"/>
    </x:row>
    <x:row r="4" ht="36" customHeight="1">
      <x:c r="A4" s="41" t="str">
        <x:v>企业版</x:v>
      </x:c>
      <x:c r="B4" s="43" t="n">
        <x:f>SUMIF('指标拆解数据'!$B$2:$B$9,A4,'指标拆解数据'!$C$2:$C$9)</x:f>
        <x:v>325000</x:v>
      </x:c>
      <x:c r="C4" s="44" t="n">
        <x:f>B4/SUM($B$4:$B$7)</x:f>
        <x:v>0.43333333333333335</x:v>
      </x:c>
      <x:c r="E4" s="53" t="str">
        <x:v>1. 平台读取首个工作表“指标拆解数据”。</x:v>
      </x:c>
      <x:c r="F4" s="54"/>
    </x:row>
    <x:row r="5" ht="36" customHeight="1">
      <x:c r="A5" s="41" t="str">
        <x:v>标准版</x:v>
      </x:c>
      <x:c r="B5" s="43" t="n">
        <x:f>SUMIF('指标拆解数据'!$B$2:$B$9,A5,'指标拆解数据'!$C$2:$C$9)</x:f>
        <x:v>174000</x:v>
      </x:c>
      <x:c r="C5" s="44" t="n">
        <x:f>B5/SUM($B$4:$B$7)</x:f>
        <x:v>0.232</x:v>
      </x:c>
      <x:c r="E5" s="53" t="str">
        <x:v>2. 添加“指标拆解”，选择导入后的数据集。</x:v>
      </x:c>
      <x:c r="F5" s="54"/>
    </x:row>
    <x:row r="6" ht="36" customHeight="1">
      <x:c r="A6" s="41" t="str">
        <x:v>增长版</x:v>
      </x:c>
      <x:c r="B6" s="43" t="n">
        <x:f>SUMIF('指标拆解数据'!$B$2:$B$9,A6,'指标拆解数据'!$C$2:$C$9)</x:f>
        <x:v>156000</x:v>
      </x:c>
      <x:c r="C6" s="44" t="n">
        <x:f>B6/SUM($B$4:$B$7)</x:f>
        <x:v>0.208</x:v>
      </x:c>
      <x:c r="E6" s="53" t="str">
        <x:v>3. 拆解维度：产品线；拆解指标：销售额。</x:v>
      </x:c>
      <x:c r="F6" s="54"/>
    </x:row>
    <x:row r="7" ht="36" customHeight="1">
      <x:c r="A7" s="41" t="str">
        <x:v>基础版</x:v>
      </x:c>
      <x:c r="B7" s="43" t="n">
        <x:f>SUMIF('指标拆解数据'!$B$2:$B$9,A7,'指标拆解数据'!$C$2:$C$9)</x:f>
        <x:v>95000</x:v>
      </x:c>
      <x:c r="C7" s="44" t="n">
        <x:f>B7/SUM($B$4:$B$7)</x:f>
        <x:v>0.12666666666666668</x:v>
      </x:c>
      <x:c r="E7" s="55" t="str">
        <x:v>4. 默认按求和拆解，并展示贡献占比。</x:v>
      </x:c>
      <x:c r="F7" s="56"/>
    </x:row>
  </x:sheetData>
  <x:mergeCells>
    <x:mergeCell ref="A1:F1"/>
    <x:mergeCell ref="E3:F3"/>
    <x:mergeCell ref="E4:F4"/>
    <x:mergeCell ref="E5:F5"/>
    <x:mergeCell ref="E6:F6"/>
    <x:mergeCell ref="E7:F7"/>
  </x:mergeCells>
  <x:pageMargins left="0.7" right="0.7" top="0.75" bottom="0.75" header="0.3" footer="0.3"/>
</x:worksheet>
</file>