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ae84f7093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行榜数据" sheetId="1" r:id="Rbfa581a9d0884e94"/>
    <x:sheet xmlns:r="http://schemas.openxmlformats.org/officeDocument/2006/relationships" name="使用说明" sheetId="2" r:id="R7f4a65c0d28a4e06"/>
    <x:sheet xmlns:r="http://schemas.openxmlformats.org/officeDocument/2006/relationships" name="字段说明" sheetId="3" r:id="R392da8c38684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0"/>
    <x:numFmt numFmtId="203" formatCode="0.0%"/>
  </x:numFmts>
  <x:fonts count="8">
    <x:font>
      <x:sz val="11"/>
      <x:name val="Carlito"/>
    </x:font>
    <x:font>
      <x:sz val="11"/>
      <x:color rgb="FF1E293B"/>
      <x:name val="Aptos"/>
    </x:font>
    <x:font>
      <x:b/>
      <x:sz val="11"/>
      <x:color rgb="FFFFFFFF"/>
      <x:name val="Aptos"/>
    </x:font>
    <x:font>
      <x:b/>
      <x:sz val="14"/>
      <x:color rgb="FFFFFFFF"/>
      <x:name val="Aptos Display"/>
    </x:font>
    <x:font>
      <x:b/>
      <x:sz val="11"/>
      <x:color rgb="FF1D4ED8"/>
      <x:name val="Carlito"/>
    </x:font>
    <x:font>
      <x:b/>
      <x:sz val="11"/>
      <x:color rgb="FF1E293B"/>
      <x:name val="Aptos"/>
    </x:font>
    <x:font>
      <x:b/>
      <x:sz val="11"/>
      <x:color rgb="FF1E293B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5EEF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155EEF"/>
      </x:patternFill>
    </x:fill>
  </x:fills>
  <x:borders count="11">
    <x:border/>
    <x:border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5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8" xfId="0" applyNumberFormat="1" applyFont="1" applyFill="1" applyBorder="1"/>
    <x:xf numFmtId="0" fontId="7" fillId="7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0" xfId="0" applyNumberFormat="1" applyFont="1" applyFill="1" applyBorder="1"/>
    <x:xf numFmtId="0" fontId="0" fillId="0" borderId="7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5040070114f2b" /><Relationship Type="http://schemas.openxmlformats.org/officeDocument/2006/relationships/theme" Target="/xl/theme/theme1.xml" Id="Re3686bf5947a43d7" /><Relationship Type="http://schemas.microsoft.com/office/2022/11/relationships/FeaturePropertyBag" Target="/xl/featurePropertyBag/featurePropertyBag.xml" Id="R9a56c6b5b0ce4cee" /><Relationship Type="http://schemas.openxmlformats.org/officeDocument/2006/relationships/sharedStrings" Target="/xl/sharedStrings.xml" Id="Re67163ab05ac48cd" /><Relationship Type="http://schemas.openxmlformats.org/officeDocument/2006/relationships/worksheet" Target="/xl/worksheets/sheet1.xml" Id="Rbfa581a9d0884e94" /><Relationship Type="http://schemas.openxmlformats.org/officeDocument/2006/relationships/worksheet" Target="/xl/worksheets/sheet2.xml" Id="R7f4a65c0d28a4e06" /><Relationship Type="http://schemas.openxmlformats.org/officeDocument/2006/relationships/worksheet" Target="/xl/worksheets/sheet3.xml" Id="R392da8c3868443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nkingData" displayName="RankingData" ref="A1:K11" headerRowCount="1" totalsRowCount="0" totalsRowShown="0">
  <x:autoFilter ref="A1:K11"/>
  <x:tableColumns count="11">
    <x:tableColumn id="1" name="产品线"/>
    <x:tableColumn id="2" name="统计周期"/>
    <x:tableColumn id="3" name="区域"/>
    <x:tableColumn id="4" name="渠道"/>
    <x:tableColumn id="5" name="销售额"/>
    <x:tableColumn id="6" name="毛利额"/>
    <x:tableColumn id="7" name="订单数"/>
    <x:tableColumn id="8" name="访客数"/>
    <x:tableColumn id="9" name="销售目标"/>
    <x:tableColumn id="10" name="完成率"/>
    <x:tableColumn id="11" name="是否重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21c4eaa1794d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4" customHeight="1">
      <x:c r="A1" t="str">
        <x:v>产品线</x:v>
      </x:c>
      <x:c r="B1" t="str">
        <x:v>统计周期</x:v>
      </x:c>
      <x:c r="C1" t="str">
        <x:v>区域</x:v>
      </x:c>
      <x:c r="D1" t="str">
        <x:v>渠道</x:v>
      </x:c>
      <x:c r="E1" t="str">
        <x:v>销售额</x:v>
      </x:c>
      <x:c r="F1" t="str">
        <x:v>毛利额</x:v>
      </x:c>
      <x:c r="G1" t="str">
        <x:v>订单数</x:v>
      </x:c>
      <x:c r="H1" t="str">
        <x:v>访客数</x:v>
      </x:c>
      <x:c r="I1" t="str">
        <x:v>销售目标</x:v>
      </x:c>
      <x:c r="J1" t="str">
        <x:v>完成率</x:v>
      </x:c>
      <x:c r="K1" t="str">
        <x:v>是否重点</x:v>
      </x:c>
    </x:row>
    <x:row r="2">
      <x:c r="A2" t="str">
        <x:v>智能家居</x:v>
      </x:c>
      <x:c r="B2" s="26" t="n">
        <x:v>46174</x:v>
      </x:c>
      <x:c r="C2" t="str">
        <x:v>华东</x:v>
      </x:c>
      <x:c r="D2" t="str">
        <x:v>线上商城</x:v>
      </x:c>
      <x:c r="E2" s="27" t="n">
        <x:v>1286000</x:v>
      </x:c>
      <x:c r="F2" s="27" t="n">
        <x:v>308640</x:v>
      </x:c>
      <x:c r="G2" s="28" t="n">
        <x:v>12860</x:v>
      </x:c>
      <x:c r="H2" s="28" t="n">
        <x:v>192900</x:v>
      </x:c>
      <x:c r="I2" s="27" t="n">
        <x:v>1350000</x:v>
      </x:c>
      <x:c r="J2" s="29" t="n">
        <x:f>E2/I2</x:f>
        <x:v>0.9525925925925925</x:v>
      </x:c>
      <x:c r="K2" s="25" t="b">
        <x:v>1</x:v>
      </x:c>
    </x:row>
    <x:row r="3">
      <x:c r="A3" t="str">
        <x:v>移动设备</x:v>
      </x:c>
      <x:c r="B3" s="26" t="n">
        <x:v>46174</x:v>
      </x:c>
      <x:c r="C3" t="str">
        <x:v>华南</x:v>
      </x:c>
      <x:c r="D3" t="str">
        <x:v>线上商城</x:v>
      </x:c>
      <x:c r="E3" s="27" t="n">
        <x:v>1168000</x:v>
      </x:c>
      <x:c r="F3" s="27" t="n">
        <x:v>210240</x:v>
      </x:c>
      <x:c r="G3" s="28" t="n">
        <x:v>11680</x:v>
      </x:c>
      <x:c r="H3" s="28" t="n">
        <x:v>184400</x:v>
      </x:c>
      <x:c r="I3" s="27" t="n">
        <x:v>1200000</x:v>
      </x:c>
      <x:c r="J3" s="29" t="n">
        <x:f>E3/I3</x:f>
        <x:v>0.9733333333333334</x:v>
      </x:c>
      <x:c r="K3" s="25" t="b">
        <x:v>1</x:v>
      </x:c>
    </x:row>
    <x:row r="4">
      <x:c r="A4" t="str">
        <x:v>办公设备</x:v>
      </x:c>
      <x:c r="B4" s="26" t="n">
        <x:v>46174</x:v>
      </x:c>
      <x:c r="C4" t="str">
        <x:v>华北</x:v>
      </x:c>
      <x:c r="D4" t="str">
        <x:v>线下门店</x:v>
      </x:c>
      <x:c r="E4" s="27" t="n">
        <x:v>982000</x:v>
      </x:c>
      <x:c r="F4" s="27" t="n">
        <x:v>166940</x:v>
      </x:c>
      <x:c r="G4" s="28" t="n">
        <x:v>9820</x:v>
      </x:c>
      <x:c r="H4" s="28" t="n">
        <x:v>152200</x:v>
      </x:c>
      <x:c r="I4" s="27" t="n">
        <x:v>1040000</x:v>
      </x:c>
      <x:c r="J4" s="29" t="n">
        <x:f>E4/I4</x:f>
        <x:v>0.9442307692307692</x:v>
      </x:c>
      <x:c r="K4" s="25" t="b">
        <x:v>1</x:v>
      </x:c>
    </x:row>
    <x:row r="5">
      <x:c r="A5" t="str">
        <x:v>数码配件</x:v>
      </x:c>
      <x:c r="B5" s="26" t="n">
        <x:v>46174</x:v>
      </x:c>
      <x:c r="C5" t="str">
        <x:v>华东</x:v>
      </x:c>
      <x:c r="D5" t="str">
        <x:v>分销渠道</x:v>
      </x:c>
      <x:c r="E5" s="27" t="n">
        <x:v>864000</x:v>
      </x:c>
      <x:c r="F5" s="27" t="n">
        <x:v>190080</x:v>
      </x:c>
      <x:c r="G5" s="28" t="n">
        <x:v>17280</x:v>
      </x:c>
      <x:c r="H5" s="28" t="n">
        <x:v>257600</x:v>
      </x:c>
      <x:c r="I5" s="27" t="n">
        <x:v>860000</x:v>
      </x:c>
      <x:c r="J5" s="29" t="n">
        <x:f>E5/I5</x:f>
        <x:v>1.0046511627906978</x:v>
      </x:c>
      <x:c r="K5" s="25" t="b">
        <x:v>0</x:v>
      </x:c>
    </x:row>
    <x:row r="6">
      <x:c r="A6" t="str">
        <x:v>家庭影音</x:v>
      </x:c>
      <x:c r="B6" s="26" t="n">
        <x:v>46174</x:v>
      </x:c>
      <x:c r="C6" t="str">
        <x:v>华南</x:v>
      </x:c>
      <x:c r="D6" t="str">
        <x:v>线上商城</x:v>
      </x:c>
      <x:c r="E6" s="27" t="n">
        <x:v>756000</x:v>
      </x:c>
      <x:c r="F6" s="27" t="n">
        <x:v>143640</x:v>
      </x:c>
      <x:c r="G6" s="28" t="n">
        <x:v>7560</x:v>
      </x:c>
      <x:c r="H6" s="28" t="n">
        <x:v>121000</x:v>
      </x:c>
      <x:c r="I6" s="27" t="n">
        <x:v>780000</x:v>
      </x:c>
      <x:c r="J6" s="29" t="n">
        <x:f>E6/I6</x:f>
        <x:v>0.9692307692307692</x:v>
      </x:c>
      <x:c r="K6" s="25" t="b">
        <x:v>0</x:v>
      </x:c>
    </x:row>
    <x:row r="7">
      <x:c r="A7" t="str">
        <x:v>健康电器</x:v>
      </x:c>
      <x:c r="B7" s="26" t="n">
        <x:v>46174</x:v>
      </x:c>
      <x:c r="C7" t="str">
        <x:v>华北</x:v>
      </x:c>
      <x:c r="D7" t="str">
        <x:v>线下门店</x:v>
      </x:c>
      <x:c r="E7" s="27" t="n">
        <x:v>692000</x:v>
      </x:c>
      <x:c r="F7" s="27" t="n">
        <x:v>131480</x:v>
      </x:c>
      <x:c r="G7" s="28" t="n">
        <x:v>6920</x:v>
      </x:c>
      <x:c r="H7" s="28" t="n">
        <x:v>101800</x:v>
      </x:c>
      <x:c r="I7" s="27" t="n">
        <x:v>700000</x:v>
      </x:c>
      <x:c r="J7" s="29" t="n">
        <x:f>E7/I7</x:f>
        <x:v>0.9885714285714285</x:v>
      </x:c>
      <x:c r="K7" s="25" t="b">
        <x:v>0</x:v>
      </x:c>
    </x:row>
    <x:row r="8">
      <x:c r="A8" t="str">
        <x:v>厨房电器</x:v>
      </x:c>
      <x:c r="B8" s="26" t="n">
        <x:v>46174</x:v>
      </x:c>
      <x:c r="C8" t="str">
        <x:v>华东</x:v>
      </x:c>
      <x:c r="D8" t="str">
        <x:v>分销渠道</x:v>
      </x:c>
      <x:c r="E8" s="27" t="n">
        <x:v>638000</x:v>
      </x:c>
      <x:c r="F8" s="27" t="n">
        <x:v>121220</x:v>
      </x:c>
      <x:c r="G8" s="28" t="n">
        <x:v>6380</x:v>
      </x:c>
      <x:c r="H8" s="28" t="n">
        <x:v>95800</x:v>
      </x:c>
      <x:c r="I8" s="27" t="n">
        <x:v>660000</x:v>
      </x:c>
      <x:c r="J8" s="29" t="n">
        <x:f>E8/I8</x:f>
        <x:v>0.9666666666666667</x:v>
      </x:c>
      <x:c r="K8" s="25" t="b">
        <x:v>0</x:v>
      </x:c>
    </x:row>
    <x:row r="9">
      <x:c r="A9" t="str">
        <x:v>清洁电器</x:v>
      </x:c>
      <x:c r="B9" s="26" t="n">
        <x:v>46174</x:v>
      </x:c>
      <x:c r="C9" t="str">
        <x:v>华南</x:v>
      </x:c>
      <x:c r="D9" t="str">
        <x:v>线上商城</x:v>
      </x:c>
      <x:c r="E9" s="27" t="n">
        <x:v>574000</x:v>
      </x:c>
      <x:c r="F9" s="27" t="n">
        <x:v>109060</x:v>
      </x:c>
      <x:c r="G9" s="28" t="n">
        <x:v>5740</x:v>
      </x:c>
      <x:c r="H9" s="28" t="n">
        <x:v>84200</x:v>
      </x:c>
      <x:c r="I9" s="27" t="n">
        <x:v>590000</x:v>
      </x:c>
      <x:c r="J9" s="29" t="n">
        <x:f>E9/I9</x:f>
        <x:v>0.9728813559322034</x:v>
      </x:c>
      <x:c r="K9" s="25" t="b">
        <x:v>0</x:v>
      </x:c>
    </x:row>
    <x:row r="10">
      <x:c r="A10" t="str">
        <x:v>照明产品</x:v>
      </x:c>
      <x:c r="B10" s="26" t="n">
        <x:v>46174</x:v>
      </x:c>
      <x:c r="C10" t="str">
        <x:v>华北</x:v>
      </x:c>
      <x:c r="D10" t="str">
        <x:v>线下门店</x:v>
      </x:c>
      <x:c r="E10" s="27" t="n">
        <x:v>486000</x:v>
      </x:c>
      <x:c r="F10" s="27" t="n">
        <x:v>92340</x:v>
      </x:c>
      <x:c r="G10" s="28" t="n">
        <x:v>4860</x:v>
      </x:c>
      <x:c r="H10" s="28" t="n">
        <x:v>72600</x:v>
      </x:c>
      <x:c r="I10" s="27" t="n">
        <x:v>520000</x:v>
      </x:c>
      <x:c r="J10" s="29" t="n">
        <x:f>E10/I10</x:f>
        <x:v>0.9346153846153846</x:v>
      </x:c>
      <x:c r="K10" s="25" t="b">
        <x:v>0</x:v>
      </x:c>
    </x:row>
    <x:row r="11">
      <x:c r="A11" t="str">
        <x:v>其他</x:v>
      </x:c>
      <x:c r="B11" s="26" t="n">
        <x:v>46174</x:v>
      </x:c>
      <x:c r="C11" t="str">
        <x:v>西南</x:v>
      </x:c>
      <x:c r="D11" t="str">
        <x:v>分销渠道</x:v>
      </x:c>
      <x:c r="E11" s="27" t="n">
        <x:v>328000</x:v>
      </x:c>
      <x:c r="F11" s="27" t="n">
        <x:v>49200</x:v>
      </x:c>
      <x:c r="G11" s="28" t="n">
        <x:v>3280</x:v>
      </x:c>
      <x:c r="H11" s="28" t="n">
        <x:v>49600</x:v>
      </x:c>
      <x:c r="I11" s="27" t="n">
        <x:v>360000</x:v>
      </x:c>
      <x:c r="J11" s="29" t="n">
        <x:f>E11/I11</x:f>
        <x:v>0.9111111111111111</x:v>
      </x:c>
      <x:c r="K11" s="2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21c4eaa1794d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4" hidden="0" customWidth="1"/>
  </x:cols>
  <x:sheetData>
    <x:row r="1" ht="28" customHeight="1">
      <x:c r="A1" s="32" t="str">
        <x:v>排行榜数据模板（扩展版）</x:v>
      </x:c>
      <x:c r="B1" s="32"/>
    </x:row>
    <x:row r="2" ht="34" customHeight="1">
      <x:c r="A2" s="37" t="str">
        <x:v>图表绑定</x:v>
      </x:c>
      <x:c r="B2" s="38" t="str">
        <x:v>排名维度可选：产品线、区域、渠道；排名指标可选：销售额、毛利额、订单数、访客数。</x:v>
      </x:c>
    </x:row>
    <x:row r="3" ht="34" customHeight="1">
      <x:c r="A3" s="39" t="str">
        <x:v>权重操作</x:v>
      </x:c>
      <x:c r="B3" s="40" t="str">
        <x:v>权重由用户在图表或查询配置中设置，用于组合多个指标；数据源无需提供权重列。</x:v>
      </x:c>
    </x:row>
    <x:row r="4" ht="34" customHeight="1">
      <x:c r="A4" s="39" t="str">
        <x:v>聚合建议</x:v>
      </x:c>
      <x:c r="B4" s="40" t="str">
        <x:v>销售额、毛利额、订单数、访客数、销售目标：求和；完成率：按汇总后的销售额 ÷ 销售目标重新计算。</x:v>
      </x:c>
    </x:row>
    <x:row r="5" ht="34" customHeight="1">
      <x:c r="A5" s="39" t="str">
        <x:v>时间字段</x:v>
      </x:c>
      <x:c r="B5" s="40" t="str">
        <x:v>统计周期为日期类型，可按日、月、季度或年度聚合。</x:v>
      </x:c>
    </x:row>
    <x:row r="6" ht="34" customHeight="1">
      <x:c r="A6" s="39" t="str">
        <x:v>维度字段</x:v>
      </x:c>
      <x:c r="B6" s="40" t="str">
        <x:v>产品线、区域、渠道为文本维度，可用于分组、筛选和排名拆分。</x:v>
      </x:c>
    </x:row>
    <x:row r="7" ht="34" customHeight="1">
      <x:c r="A7" s="39" t="str">
        <x:v>指标字段</x:v>
      </x:c>
      <x:c r="B7" s="40" t="str">
        <x:v>销售额、毛利额、订单数、访客数、销售目标为数值型；完成率为公式百分比。</x:v>
      </x:c>
    </x:row>
    <x:row r="8" ht="34" customHeight="1">
      <x:c r="A8" s="39" t="str">
        <x:v>布尔字段</x:v>
      </x:c>
      <x:c r="B8" s="40" t="str">
        <x:v>是否重点为布尔类型，可作为重点业务筛选条件。</x:v>
      </x:c>
    </x:row>
    <x:row r="9" ht="34" customHeight="1">
      <x:c r="A9" s="39" t="str">
        <x:v>兼容性</x:v>
      </x:c>
      <x:c r="B9" s="40" t="str">
        <x:v>仅使用标准 XLSX 单元格、公式、表格和基础格式，可用于 Excel、WPS 及系统导入。</x:v>
      </x:c>
    </x:row>
    <x:row r="10" ht="34" customHeight="1">
      <x:c r="A10" s="41" t="str">
        <x:v>导入提示</x:v>
      </x:c>
      <x:c r="B10" s="42" t="str">
        <x:v>请保留第一个工作表的首行字段名；系统将读取该工作表。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7" hidden="0" customWidth="1"/>
    <x:col min="5" max="5" width="32" hidden="0" customWidth="1"/>
  </x:cols>
  <x:sheetData>
    <x:row r="1">
      <x:c r="A1" s="54" t="str">
        <x:v>字段名</x:v>
      </x:c>
      <x:c r="B1" s="55" t="str">
        <x:v>显示名称</x:v>
      </x:c>
      <x:c r="C1" s="55" t="str">
        <x:v>数据类型</x:v>
      </x:c>
      <x:c r="D1" s="55" t="str">
        <x:v>建议聚合</x:v>
      </x:c>
      <x:c r="E1" s="56" t="str">
        <x:v>用途</x:v>
      </x:c>
    </x:row>
    <x:row r="2">
      <x:c r="A2" s="57" t="str">
        <x:v>产品线</x:v>
      </x:c>
      <x:c r="B2" s="58" t="str">
        <x:v>产品线</x:v>
      </x:c>
      <x:c r="C2" s="58" t="str">
        <x:v>文本</x:v>
      </x:c>
      <x:c r="D2" s="58" t="str">
        <x:v>分组</x:v>
      </x:c>
      <x:c r="E2" s="40" t="str">
        <x:v>主排名维度</x:v>
      </x:c>
    </x:row>
    <x:row r="3">
      <x:c r="A3" s="57" t="str">
        <x:v>统计周期</x:v>
      </x:c>
      <x:c r="B3" s="58" t="str">
        <x:v>统计周期</x:v>
      </x:c>
      <x:c r="C3" s="58" t="str">
        <x:v>日期</x:v>
      </x:c>
      <x:c r="D3" s="58" t="str">
        <x:v>按时间分组</x:v>
      </x:c>
      <x:c r="E3" s="40" t="str">
        <x:v>趋势、周期汇总</x:v>
      </x:c>
    </x:row>
    <x:row r="4">
      <x:c r="A4" s="57" t="str">
        <x:v>区域</x:v>
      </x:c>
      <x:c r="B4" s="58" t="str">
        <x:v>区域</x:v>
      </x:c>
      <x:c r="C4" s="58" t="str">
        <x:v>文本</x:v>
      </x:c>
      <x:c r="D4" s="58" t="str">
        <x:v>分组</x:v>
      </x:c>
      <x:c r="E4" s="40" t="str">
        <x:v>区域排名或筛选</x:v>
      </x:c>
    </x:row>
    <x:row r="5">
      <x:c r="A5" s="57" t="str">
        <x:v>渠道</x:v>
      </x:c>
      <x:c r="B5" s="58" t="str">
        <x:v>渠道</x:v>
      </x:c>
      <x:c r="C5" s="58" t="str">
        <x:v>文本</x:v>
      </x:c>
      <x:c r="D5" s="58" t="str">
        <x:v>分组</x:v>
      </x:c>
      <x:c r="E5" s="40" t="str">
        <x:v>渠道排名或筛选</x:v>
      </x:c>
    </x:row>
    <x:row r="6">
      <x:c r="A6" s="57" t="str">
        <x:v>销售额</x:v>
      </x:c>
      <x:c r="B6" s="58" t="str">
        <x:v>销售额</x:v>
      </x:c>
      <x:c r="C6" s="58" t="str">
        <x:v>金额</x:v>
      </x:c>
      <x:c r="D6" s="58" t="str">
        <x:v>求和</x:v>
      </x:c>
      <x:c r="E6" s="40" t="str">
        <x:v>基础排名指标</x:v>
      </x:c>
    </x:row>
    <x:row r="7">
      <x:c r="A7" s="57" t="str">
        <x:v>毛利额</x:v>
      </x:c>
      <x:c r="B7" s="58" t="str">
        <x:v>毛利额</x:v>
      </x:c>
      <x:c r="C7" s="58" t="str">
        <x:v>金额</x:v>
      </x:c>
      <x:c r="D7" s="58" t="str">
        <x:v>求和</x:v>
      </x:c>
      <x:c r="E7" s="40" t="str">
        <x:v>利润排名指标</x:v>
      </x:c>
    </x:row>
    <x:row r="8">
      <x:c r="A8" s="57" t="str">
        <x:v>订单数</x:v>
      </x:c>
      <x:c r="B8" s="58" t="str">
        <x:v>订单数</x:v>
      </x:c>
      <x:c r="C8" s="58" t="str">
        <x:v>整数</x:v>
      </x:c>
      <x:c r="D8" s="58" t="str">
        <x:v>求和</x:v>
      </x:c>
      <x:c r="E8" s="40" t="str">
        <x:v>订单规模指标</x:v>
      </x:c>
    </x:row>
    <x:row r="9">
      <x:c r="A9" s="57" t="str">
        <x:v>访客数</x:v>
      </x:c>
      <x:c r="B9" s="58" t="str">
        <x:v>访客数</x:v>
      </x:c>
      <x:c r="C9" s="58" t="str">
        <x:v>整数</x:v>
      </x:c>
      <x:c r="D9" s="58" t="str">
        <x:v>求和</x:v>
      </x:c>
      <x:c r="E9" s="40" t="str">
        <x:v>流量指标</x:v>
      </x:c>
    </x:row>
    <x:row r="10">
      <x:c r="A10" s="57" t="str">
        <x:v>销售目标</x:v>
      </x:c>
      <x:c r="B10" s="58" t="str">
        <x:v>销售目标</x:v>
      </x:c>
      <x:c r="C10" s="58" t="str">
        <x:v>金额</x:v>
      </x:c>
      <x:c r="D10" s="58" t="str">
        <x:v>求和</x:v>
      </x:c>
      <x:c r="E10" s="40" t="str">
        <x:v>完成率计算基数</x:v>
      </x:c>
    </x:row>
    <x:row r="11">
      <x:c r="A11" s="57" t="str">
        <x:v>完成率</x:v>
      </x:c>
      <x:c r="B11" s="58" t="str">
        <x:v>完成率</x:v>
      </x:c>
      <x:c r="C11" s="58" t="str">
        <x:v>公式百分比</x:v>
      </x:c>
      <x:c r="D11" s="58" t="str">
        <x:v>重新计算</x:v>
      </x:c>
      <x:c r="E11" s="40" t="str">
        <x:v>销售额 ÷ 销售目标</x:v>
      </x:c>
    </x:row>
    <x:row r="12">
      <x:c r="A12" s="59" t="str">
        <x:v>是否重点</x:v>
      </x:c>
      <x:c r="B12" s="60" t="str">
        <x:v>是否重点</x:v>
      </x:c>
      <x:c r="C12" s="60" t="str">
        <x:v>布尔值</x:v>
      </x:c>
      <x:c r="D12" s="60" t="str">
        <x:v>筛选</x:v>
      </x:c>
      <x:c r="E12" s="42" t="str">
        <x:v>重点业务标记</x:v>
      </x:c>
    </x:row>
  </x:sheetData>
  <x:pageMargins left="0.7" right="0.7" top="0.75" bottom="0.75" header="0.3" footer="0.3"/>
</x:worksheet>
</file>